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E998C4-C9E5-D4B9-71C8-EB1FF731991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vy_c\Desktop\UNLZ 2023\PPS\ProyectoSGSB_Coronel,Rodriguez,Belsito,Gorosito,Cañente\2 - Planificacion del Proyecto\"/>
    </mc:Choice>
  </mc:AlternateContent>
  <xr:revisionPtr revIDLastSave="0" documentId="8_{49070F1A-9BA7-4E28-BA4C-948D0B05A31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ja1" sheetId="2" r:id="rId1"/>
    <sheet name="Hoja3" sheetId="4" r:id="rId2"/>
    <sheet name="old" sheetId="1" state="hidden" r:id="rId3"/>
    <sheet name="Hoja2" sheetId="3" state="hidden" r:id="rId4"/>
    <sheet name="Hoja4" sheetId="5" r:id="rId5"/>
  </sheets>
  <definedNames>
    <definedName name="_xlnm.Print_Area" localSheetId="0">Hoja1!$A$7:$H$77</definedName>
  </definedNames>
  <calcPr calcId="191029"/>
</workbook>
</file>

<file path=xl/calcChain.xml><?xml version="1.0" encoding="utf-8"?>
<calcChain xmlns="http://schemas.openxmlformats.org/spreadsheetml/2006/main">
  <c r="I27" i="1" l="1"/>
  <c r="I28" i="1"/>
  <c r="I30" i="1"/>
  <c r="I34" i="1"/>
  <c r="I35" i="1"/>
  <c r="I39" i="1"/>
  <c r="I29" i="1"/>
  <c r="I31" i="1"/>
  <c r="I32" i="1"/>
  <c r="I36" i="1"/>
  <c r="I40" i="1"/>
  <c r="I41" i="1"/>
  <c r="I43" i="1"/>
  <c r="I33" i="1"/>
  <c r="I37" i="1"/>
  <c r="I38" i="1"/>
  <c r="I42" i="1"/>
  <c r="I44" i="1"/>
  <c r="I45" i="1"/>
  <c r="I46" i="1"/>
  <c r="I26" i="1"/>
  <c r="H27" i="1"/>
  <c r="H28" i="1"/>
  <c r="H30" i="1"/>
  <c r="H34" i="1"/>
  <c r="H35" i="1"/>
  <c r="J35" i="1" s="1"/>
  <c r="H39" i="1"/>
  <c r="H29" i="1"/>
  <c r="H31" i="1"/>
  <c r="H32" i="1"/>
  <c r="H36" i="1"/>
  <c r="H40" i="1"/>
  <c r="H41" i="1"/>
  <c r="H43" i="1"/>
  <c r="H33" i="1"/>
  <c r="H37" i="1"/>
  <c r="H38" i="1"/>
  <c r="H42" i="1"/>
  <c r="H44" i="1"/>
  <c r="H45" i="1"/>
  <c r="H46" i="1"/>
  <c r="H26" i="1"/>
  <c r="G27" i="1"/>
  <c r="J27" i="1"/>
  <c r="G28" i="1"/>
  <c r="G30" i="1"/>
  <c r="G34" i="1"/>
  <c r="J34" i="1" s="1"/>
  <c r="G35" i="1"/>
  <c r="G39" i="1"/>
  <c r="G29" i="1"/>
  <c r="J29" i="1" s="1"/>
  <c r="G31" i="1"/>
  <c r="J31" i="1" s="1"/>
  <c r="G32" i="1"/>
  <c r="J32" i="1" s="1"/>
  <c r="G36" i="1"/>
  <c r="J36" i="1" s="1"/>
  <c r="G40" i="1"/>
  <c r="J40" i="1" s="1"/>
  <c r="G41" i="1"/>
  <c r="J41" i="1" s="1"/>
  <c r="G43" i="1"/>
  <c r="J43" i="1" s="1"/>
  <c r="G33" i="1"/>
  <c r="J33" i="1" s="1"/>
  <c r="G37" i="1"/>
  <c r="G38" i="1"/>
  <c r="J38" i="1" s="1"/>
  <c r="G42" i="1"/>
  <c r="J42" i="1" s="1"/>
  <c r="G44" i="1"/>
  <c r="J44" i="1" s="1"/>
  <c r="G45" i="1"/>
  <c r="J45" i="1" s="1"/>
  <c r="G46" i="1"/>
  <c r="J46" i="1" s="1"/>
  <c r="G26" i="1"/>
  <c r="J26" i="1" s="1"/>
  <c r="D35" i="2"/>
  <c r="G11" i="3"/>
  <c r="G6" i="3"/>
  <c r="G12" i="3"/>
  <c r="G7" i="3"/>
  <c r="G13" i="3"/>
  <c r="G4" i="3"/>
  <c r="G8" i="3"/>
  <c r="G14" i="3"/>
  <c r="G5" i="3"/>
  <c r="G9" i="3"/>
  <c r="G3" i="3"/>
  <c r="G2" i="3"/>
  <c r="G28" i="3"/>
  <c r="G29" i="3"/>
  <c r="G21" i="3"/>
  <c r="G30" i="3"/>
  <c r="G22" i="3"/>
  <c r="G15" i="3"/>
  <c r="G31" i="3"/>
  <c r="G23" i="3"/>
  <c r="G32" i="3"/>
  <c r="G16" i="3"/>
  <c r="G24" i="3"/>
  <c r="G33" i="3"/>
  <c r="G17" i="3"/>
  <c r="G25" i="3"/>
  <c r="G34" i="3"/>
  <c r="G18" i="3"/>
  <c r="G26" i="3"/>
  <c r="G35" i="3"/>
  <c r="G19" i="3"/>
  <c r="G27" i="3"/>
  <c r="G20" i="3"/>
  <c r="G10" i="3"/>
  <c r="F3" i="3"/>
  <c r="F4" i="3"/>
  <c r="F6" i="3"/>
  <c r="F10" i="3"/>
  <c r="F5" i="3"/>
  <c r="F7" i="3"/>
  <c r="F11" i="3"/>
  <c r="F8" i="3"/>
  <c r="F12" i="3"/>
  <c r="F9" i="3"/>
  <c r="F13" i="3"/>
  <c r="F14" i="3"/>
  <c r="F15" i="3"/>
  <c r="F21" i="3"/>
  <c r="F28" i="3"/>
  <c r="F22" i="3"/>
  <c r="F29" i="3"/>
  <c r="F30" i="3"/>
  <c r="F16" i="3"/>
  <c r="F17" i="3"/>
  <c r="F23" i="3"/>
  <c r="F18" i="3"/>
  <c r="F24" i="3"/>
  <c r="F31" i="3"/>
  <c r="F19" i="3"/>
  <c r="F25" i="3"/>
  <c r="F32" i="3"/>
  <c r="F20" i="3"/>
  <c r="F26" i="3"/>
  <c r="F33" i="3"/>
  <c r="F27" i="3"/>
  <c r="F34" i="3"/>
  <c r="F35" i="3"/>
  <c r="F2" i="3"/>
  <c r="D9" i="3"/>
  <c r="D5" i="3"/>
  <c r="D14" i="3"/>
  <c r="D8" i="3"/>
  <c r="D7" i="3"/>
  <c r="D29" i="3"/>
  <c r="D30" i="3"/>
  <c r="D31" i="3"/>
  <c r="D32" i="3"/>
  <c r="D33" i="3"/>
  <c r="D34" i="3"/>
  <c r="D35" i="3"/>
  <c r="D21" i="3"/>
  <c r="D15" i="3"/>
  <c r="D10" i="3"/>
  <c r="D6" i="3"/>
  <c r="D4" i="3"/>
  <c r="D3" i="3"/>
  <c r="D2" i="3"/>
  <c r="D22" i="3"/>
  <c r="D23" i="3"/>
  <c r="D24" i="3"/>
  <c r="D25" i="3"/>
  <c r="D26" i="3"/>
  <c r="D27" i="3"/>
  <c r="D16" i="3"/>
  <c r="D17" i="3"/>
  <c r="D18" i="3"/>
  <c r="D19" i="3"/>
  <c r="D20" i="3"/>
  <c r="D11" i="3"/>
  <c r="D12" i="3"/>
  <c r="D13" i="3"/>
  <c r="D28" i="3"/>
  <c r="C71" i="2"/>
  <c r="C70" i="2"/>
  <c r="C69" i="2"/>
  <c r="C51" i="2"/>
  <c r="C50" i="2"/>
  <c r="C49" i="2"/>
  <c r="C27" i="2"/>
  <c r="C26" i="2"/>
  <c r="C28" i="2"/>
  <c r="D1" i="1"/>
  <c r="J37" i="1" l="1"/>
  <c r="J30" i="1"/>
  <c r="J28" i="1"/>
  <c r="J39" i="1"/>
  <c r="L70" i="2"/>
  <c r="D71" i="2" s="1"/>
  <c r="L50" i="2"/>
  <c r="D51" i="2" s="1"/>
  <c r="L27" i="2"/>
  <c r="D26" i="2" s="1"/>
  <c r="D69" i="2" l="1"/>
  <c r="D70" i="2"/>
  <c r="D49" i="2"/>
  <c r="D50" i="2"/>
  <c r="D28" i="2"/>
  <c r="D27" i="2"/>
  <c r="B9" i="4" l="1"/>
  <c r="B11" i="4"/>
  <c r="B10" i="4"/>
  <c r="T18" i="4" l="1"/>
  <c r="T26" i="4"/>
  <c r="T25" i="4"/>
  <c r="T9" i="4"/>
  <c r="T11" i="4"/>
  <c r="T30" i="4"/>
  <c r="T29" i="4"/>
  <c r="T24" i="4"/>
  <c r="T10" i="4"/>
  <c r="T20" i="4"/>
  <c r="T21" i="4"/>
  <c r="T16" i="4"/>
  <c r="T17" i="4"/>
  <c r="T19" i="4"/>
  <c r="T15" i="4"/>
  <c r="T14" i="4"/>
  <c r="T12" i="4"/>
  <c r="T13" i="4"/>
  <c r="T23" i="4"/>
  <c r="T28" i="4"/>
  <c r="T22" i="4"/>
  <c r="T27" i="4"/>
  <c r="T8" i="4" l="1"/>
</calcChain>
</file>

<file path=xl/sharedStrings.xml><?xml version="1.0" encoding="utf-8"?>
<sst xmlns="http://schemas.openxmlformats.org/spreadsheetml/2006/main" count="498" uniqueCount="129">
  <si>
    <t>Complejidad del producto</t>
  </si>
  <si>
    <t>Componente</t>
  </si>
  <si>
    <t>Sistema</t>
  </si>
  <si>
    <t>Cadena</t>
  </si>
  <si>
    <t>Incertidumbre</t>
  </si>
  <si>
    <t xml:space="preserve">Alta </t>
  </si>
  <si>
    <t>Media</t>
  </si>
  <si>
    <t>Baja</t>
  </si>
  <si>
    <t>Restricción de tiempo</t>
  </si>
  <si>
    <t>Baja complejidad</t>
  </si>
  <si>
    <t>Alta Complejidad</t>
  </si>
  <si>
    <t>Proyecto Crítico</t>
  </si>
  <si>
    <t>Complejidad Media</t>
  </si>
  <si>
    <t>Complejidad del proyecto</t>
  </si>
  <si>
    <t>Criticidad/ Restricción de tiempos</t>
  </si>
  <si>
    <t>Alta</t>
  </si>
  <si>
    <t>Riesgo medio</t>
  </si>
  <si>
    <t>Riesgo bajo</t>
  </si>
  <si>
    <t>Riesgo alto</t>
  </si>
  <si>
    <t>Áreas afectadas por el proyecto</t>
  </si>
  <si>
    <t>Sólo una</t>
  </si>
  <si>
    <t>Más de un área usuaria principal</t>
  </si>
  <si>
    <t>El proyecto cruza a la organización en forma horizontal</t>
  </si>
  <si>
    <t>Procesos organizacionales impactados por el proyecto</t>
  </si>
  <si>
    <t>Procesos no críticos y/o departamentales</t>
  </si>
  <si>
    <t>Pertenencia a Programas y vinculación con otros proyectos</t>
  </si>
  <si>
    <t>El proyecto no pertenece a un programa ni está vinculado con otros proyectos</t>
  </si>
  <si>
    <t>El proyecto está vinculado con otro/s proyecto/s  que no son gestionados en forma integral</t>
  </si>
  <si>
    <t>Seleccionar</t>
  </si>
  <si>
    <t>Incertidumbre del proyecto</t>
  </si>
  <si>
    <t>Tecnología</t>
  </si>
  <si>
    <t>Otros</t>
  </si>
  <si>
    <t>x</t>
  </si>
  <si>
    <t>Ver si aplica</t>
  </si>
  <si>
    <t xml:space="preserve">Estructura del proyecto </t>
  </si>
  <si>
    <t>El proyecto implica la automatización de uno o varios procesos manuales</t>
  </si>
  <si>
    <t>El proyecto impacta procesos estratégicos del Banco</t>
  </si>
  <si>
    <t>El proyecto es monofásico (compuesto de una única fase)</t>
  </si>
  <si>
    <t>El proyecto está compuesto por más de dos fases pero que son independientes una de la otra o bien son secuenciales.</t>
  </si>
  <si>
    <t>El proyecto está dividido en fases o sub-proyectos dependientes entre sí y/o que se ejecutan en forma simultánea</t>
  </si>
  <si>
    <t>El proyecto es parte de un programa (grupo de proyectos vinculados entre sí)</t>
  </si>
  <si>
    <t>Disponible para proyectos de</t>
  </si>
  <si>
    <t>Desarrollo de SW</t>
  </si>
  <si>
    <t>Complejidad del desarrollo a realizar</t>
  </si>
  <si>
    <t>Complejidad de la tecnología a utilizar</t>
  </si>
  <si>
    <t>Se trata de una actualización o ampliación sobre componentes tecnológicos ya instalados.</t>
  </si>
  <si>
    <t>Se trata de un arreglo o modificación aun sistema ya existente (Mantenimiento).</t>
  </si>
  <si>
    <t>El proyecto implica un desarrollo nuevo o ampliación de funcionalidad sobre un sistema actual (Mantenimiento evolutivo).</t>
  </si>
  <si>
    <t xml:space="preserve">El proyecto incluye el desarrollo o customización e implementación de un sistema nuevo. </t>
  </si>
  <si>
    <t>El proyecto implica la instalación de tecnología conocida.</t>
  </si>
  <si>
    <t xml:space="preserve">El proyecto incluye la instalación de tecnología de vanguardia o poco conocida. </t>
  </si>
  <si>
    <t>Compleijdad del trabajo a realizar</t>
  </si>
  <si>
    <t>El trabajo es simple o bien se cuenta con recursos experimentados en el tema</t>
  </si>
  <si>
    <t>El trabajo es complejo o poco conocido, pero se contará con capacitación para realizarlo.</t>
  </si>
  <si>
    <t>El alcance del proyecto es</t>
  </si>
  <si>
    <t>Preciso y detallado.</t>
  </si>
  <si>
    <t>No está claramente definido.  Genera dudas.</t>
  </si>
  <si>
    <t>Es sólo una idea.  No tiene documentación respaldatoria.</t>
  </si>
  <si>
    <t>Duración del proyecto</t>
  </si>
  <si>
    <t>3 a 6 meses</t>
  </si>
  <si>
    <t>6 meses a un año</t>
  </si>
  <si>
    <t>Más de un año</t>
  </si>
  <si>
    <t>Incertidumbre sobre el producto, servicio o resultado que debe generar el proyecto</t>
  </si>
  <si>
    <t>El proyecto involucra trabajo conocido, o es muy similar a proyectos anteriores.</t>
  </si>
  <si>
    <t>El proyecto es sobre la mejora y/o ampliación de un producto/servicio existente.</t>
  </si>
  <si>
    <t>El producto del proyecto es muy novedoso o existe poca experiencia con la tecnología involucrada.</t>
  </si>
  <si>
    <t>Incertidumbre respecto a la participación de terceros en el proyecto</t>
  </si>
  <si>
    <t>El proyecto es realizado internamente por personal del Banco o bien internamente en la Gerencia de Sistemas y Tecnología</t>
  </si>
  <si>
    <t>Implica la contratación de proveedores que participarán en forma parcial del proyecto o bien parte del trabajo del proyecto se comparte con otras áreas del Banco.</t>
  </si>
  <si>
    <t xml:space="preserve">El proyecto es: a) parte de una adquisición a organizaciones externas, o b) el implementador principal es externo o c) se depende de otras áreas internas del Banco para la toma de decisiones claves del proyecto.  </t>
  </si>
  <si>
    <t>Criticidad del proyecto</t>
  </si>
  <si>
    <t xml:space="preserve">El tiempo destinado para efectuar el desarrollo, adquisición o instalación del producto, servicio o resultado del proyecto:    </t>
  </si>
  <si>
    <t>Se determina en función del esfuerzo requerido para completar el trabajo y los recursos disponibles, sin imposición de fechas por el solicitante, o bien es un requerimiento a largo plazo.</t>
  </si>
  <si>
    <t>Se trata de un requerimiento a mediano plazo o bien existe una tolerancia en el cumplimiento de la fecha comprometida.</t>
  </si>
  <si>
    <t>Hay mucha urgencia, una fecha comprometida y el trabajo debe realizarse en el tiempo establecido.</t>
  </si>
  <si>
    <t xml:space="preserve">Criticidad del producto, servicio o resultado del proyecto. La adquisición, desarrollo o implementación del producto del proyecto: </t>
  </si>
  <si>
    <t>No corresponde a la necesidad de cumplir con regulaciones ni es parte de los Objetivos estratégicos</t>
  </si>
  <si>
    <t>Es parte de los objetivos estratégicos del año en curso.</t>
  </si>
  <si>
    <t>El trabajo es altamente complejo o requiere la coordinación de muchas personas, y no se cuenta con experiencia o recursos preparados para realizarlo.</t>
  </si>
  <si>
    <t>Impacto de otros proyectos u operaciones continuas</t>
  </si>
  <si>
    <t>El proyecto no se ve afectado por otros proyectos u operatorias del Banco.</t>
  </si>
  <si>
    <t>El proyecto depende directamente de decisiones tomadas en otros proyectos u operatorias del Banco, y tanto su alcance como su cronograma pueden tener que modificarse en consecuencia.</t>
  </si>
  <si>
    <t>El proyecto puede verse afectado por decisiones tomadas en otros proyectos u operatorias, siendo necesario ajustar su alcance o cronograma.</t>
  </si>
  <si>
    <t>&gt;=5</t>
  </si>
  <si>
    <t>&lt;=2</t>
  </si>
  <si>
    <t>&lt;=1</t>
  </si>
  <si>
    <t>&lt;=4</t>
  </si>
  <si>
    <t>&gt;=2</t>
  </si>
  <si>
    <t>&gt;=3</t>
  </si>
  <si>
    <t>&lt;= 4</t>
  </si>
  <si>
    <t>cualquiera</t>
  </si>
  <si>
    <t>Resultado</t>
  </si>
  <si>
    <t>Factores medidos:</t>
  </si>
  <si>
    <t>&lt;= 2</t>
  </si>
  <si>
    <t>Factores medidos</t>
  </si>
  <si>
    <t>total</t>
  </si>
  <si>
    <t>Calific</t>
  </si>
  <si>
    <t>Calculo</t>
  </si>
  <si>
    <t>Calific2</t>
  </si>
  <si>
    <t>&gt;=0</t>
  </si>
  <si>
    <t>&gt;=4</t>
  </si>
  <si>
    <t>&gt;=1</t>
  </si>
  <si>
    <t>Com</t>
  </si>
  <si>
    <t>Cri</t>
  </si>
  <si>
    <t>Inc</t>
  </si>
  <si>
    <t>A</t>
  </si>
  <si>
    <t>M</t>
  </si>
  <si>
    <t>B</t>
  </si>
  <si>
    <t>C1</t>
  </si>
  <si>
    <t>C2</t>
  </si>
  <si>
    <t>I</t>
  </si>
  <si>
    <t>SUMA</t>
  </si>
  <si>
    <t>Complejidad</t>
  </si>
  <si>
    <t>Criticidad</t>
  </si>
  <si>
    <t>Autocompletar</t>
  </si>
  <si>
    <t>Nombre del proyecto</t>
  </si>
  <si>
    <t>     </t>
  </si>
  <si>
    <t>Fecha</t>
  </si>
  <si>
    <t>Confeccionado por</t>
  </si>
  <si>
    <t xml:space="preserve">Medición de la COMPLEJIDAD del proyecto </t>
  </si>
  <si>
    <t>Referencias para medir la complejidad</t>
  </si>
  <si>
    <t xml:space="preserve">Medición de la INCERTIDUMBRE del proyecto </t>
  </si>
  <si>
    <t>Referencias para medir la incertidumbre</t>
  </si>
  <si>
    <t>Medición de la CRITICIDAD del proyecto</t>
  </si>
  <si>
    <t>Referencias para medir la criticidad</t>
  </si>
  <si>
    <t>Pequeña envergadura</t>
  </si>
  <si>
    <t>Mediana envergadura</t>
  </si>
  <si>
    <t>Gran envergadura</t>
  </si>
  <si>
    <t>Es requerido por el BCRA, alguna Institución Gubernamental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</si>
</sst>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b/>
      <sz val="10"/>
      <color rgb="FF000000"/>
      <name val="Century Gothic"/>
      <family val="2"/>
    </font>
    <font>
      <sz val="10"/>
      <color rgb="FF000000"/>
      <name val="Century Gothic"/>
      <family val="2"/>
    </font>
    <font>
      <sz val="9"/>
      <color rgb="FF000000"/>
      <name val="Century Gothic"/>
      <family val="2"/>
    </font>
    <font>
      <b/>
      <sz val="10"/>
      <color rgb="FF0000FF"/>
      <name val="Century Gothic"/>
      <family val="2"/>
    </font>
    <font>
      <b/>
      <sz val="10"/>
      <color theme="0"/>
      <name val="Century Gothic"/>
      <family val="2"/>
    </font>
    <font>
      <sz val="9"/>
      <color theme="1"/>
      <name val="Calibri"/>
      <family val="2"/>
      <scheme val="minor"/>
    </font>
    <font>
      <b/>
      <sz val="9"/>
      <color rgb="FF000000"/>
      <name val="Century Gothic"/>
      <family val="2"/>
    </font>
    <font>
      <sz val="10"/>
      <color rgb="FFFF0000"/>
      <name val="Century Gothic"/>
      <family val="2"/>
    </font>
    <font>
      <b/>
      <sz val="10"/>
      <color rgb="FFFF0000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ambria Math"/>
      <family val="1"/>
    </font>
    <font>
      <sz val="12"/>
      <color theme="1"/>
      <name val="Century Gothic"/>
      <family val="2"/>
    </font>
    <font>
      <b/>
      <sz val="16"/>
      <color theme="1"/>
      <name val="Century Gothic"/>
      <family val="2"/>
    </font>
    <font>
      <b/>
      <sz val="16"/>
      <color theme="0"/>
      <name val="Century Gothic"/>
      <family val="2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9FF3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6666FF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/>
      <top/>
      <bottom/>
      <diagonal/>
    </border>
    <border>
      <left/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3" tint="0.39994506668294322"/>
      </left>
      <right/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theme="3" tint="0.39994506668294322"/>
      </left>
      <right/>
      <top style="thin">
        <color indexed="64"/>
      </top>
      <bottom style="thin">
        <color theme="3" tint="0.39994506668294322"/>
      </bottom>
      <diagonal/>
    </border>
    <border>
      <left/>
      <right/>
      <top style="thin">
        <color indexed="64"/>
      </top>
      <bottom style="thin">
        <color theme="3" tint="0.39994506668294322"/>
      </bottom>
      <diagonal/>
    </border>
    <border>
      <left/>
      <right style="thin">
        <color theme="3" tint="0.39994506668294322"/>
      </right>
      <top style="thin">
        <color indexed="64"/>
      </top>
      <bottom style="thin">
        <color theme="3" tint="0.39994506668294322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1" fillId="0" borderId="1" xfId="0" applyFont="1" applyBorder="1" applyAlignment="1">
      <alignment horizontal="center" textRotation="90"/>
    </xf>
    <xf numFmtId="0" fontId="1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1" fillId="0" borderId="10" xfId="0" applyFont="1" applyBorder="1" applyAlignment="1">
      <alignment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left" vertical="center" wrapText="1"/>
    </xf>
    <xf numFmtId="0" fontId="1" fillId="0" borderId="10" xfId="0" applyFont="1" applyBorder="1" applyAlignment="1">
      <alignment vertical="center" wrapText="1"/>
    </xf>
    <xf numFmtId="0" fontId="2" fillId="0" borderId="10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vertical="center"/>
    </xf>
    <xf numFmtId="0" fontId="1" fillId="0" borderId="10" xfId="0" applyFont="1" applyBorder="1" applyAlignment="1">
      <alignment horizontal="center" textRotation="90" wrapText="1"/>
    </xf>
    <xf numFmtId="0" fontId="1" fillId="5" borderId="10" xfId="0" applyFont="1" applyFill="1" applyBorder="1" applyAlignment="1">
      <alignment vertical="center"/>
    </xf>
    <xf numFmtId="0" fontId="5" fillId="0" borderId="0" xfId="0" applyFont="1" applyAlignment="1">
      <alignment horizontal="left" vertical="top" wrapText="1"/>
    </xf>
    <xf numFmtId="0" fontId="1" fillId="6" borderId="10" xfId="0" applyFont="1" applyFill="1" applyBorder="1" applyAlignment="1">
      <alignment vertical="center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7" borderId="16" xfId="0" applyFont="1" applyFill="1" applyBorder="1" applyAlignment="1">
      <alignment horizontal="center" vertical="center"/>
    </xf>
    <xf numFmtId="0" fontId="7" fillId="7" borderId="17" xfId="0" applyFont="1" applyFill="1" applyBorder="1" applyAlignment="1">
      <alignment horizontal="center" vertical="center"/>
    </xf>
    <xf numFmtId="0" fontId="7" fillId="7" borderId="18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3" borderId="0" xfId="0" applyFont="1" applyFill="1"/>
    <xf numFmtId="0" fontId="1" fillId="8" borderId="0" xfId="0" applyFont="1" applyFill="1"/>
    <xf numFmtId="0" fontId="1" fillId="9" borderId="0" xfId="0" applyFont="1" applyFill="1"/>
    <xf numFmtId="0" fontId="8" fillId="0" borderId="0" xfId="0" applyFont="1"/>
    <xf numFmtId="0" fontId="9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2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8" xfId="0" applyFont="1" applyBorder="1" applyAlignment="1">
      <alignment vertical="center"/>
    </xf>
    <xf numFmtId="0" fontId="1" fillId="0" borderId="29" xfId="0" applyFont="1" applyBorder="1" applyAlignment="1">
      <alignment vertical="center"/>
    </xf>
    <xf numFmtId="0" fontId="1" fillId="0" borderId="30" xfId="0" applyFont="1" applyBorder="1" applyAlignment="1">
      <alignment vertical="center"/>
    </xf>
    <xf numFmtId="0" fontId="2" fillId="0" borderId="31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vertical="center"/>
    </xf>
    <xf numFmtId="0" fontId="1" fillId="0" borderId="35" xfId="0" applyFont="1" applyBorder="1" applyAlignment="1">
      <alignment vertical="center"/>
    </xf>
    <xf numFmtId="0" fontId="1" fillId="0" borderId="36" xfId="0" applyFont="1" applyBorder="1" applyAlignment="1">
      <alignment vertical="center"/>
    </xf>
    <xf numFmtId="0" fontId="1" fillId="0" borderId="37" xfId="0" applyFont="1" applyBorder="1" applyAlignment="1">
      <alignment vertical="center"/>
    </xf>
    <xf numFmtId="0" fontId="1" fillId="0" borderId="38" xfId="0" applyFont="1" applyBorder="1" applyAlignment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10" borderId="42" xfId="0" applyFont="1" applyFill="1" applyBorder="1" applyAlignment="1">
      <alignment vertical="center" wrapText="1"/>
    </xf>
    <xf numFmtId="0" fontId="12" fillId="10" borderId="44" xfId="0" applyFont="1" applyFill="1" applyBorder="1" applyAlignment="1">
      <alignment vertical="center" wrapText="1"/>
    </xf>
    <xf numFmtId="0" fontId="15" fillId="0" borderId="0" xfId="0" applyFont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2" fillId="0" borderId="4" xfId="0" applyFont="1" applyBorder="1" applyAlignment="1">
      <alignment vertical="center" textRotation="180"/>
    </xf>
    <xf numFmtId="0" fontId="1" fillId="0" borderId="25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2" fillId="0" borderId="5" xfId="0" applyFont="1" applyBorder="1" applyAlignment="1">
      <alignment horizontal="center" vertical="center" textRotation="180"/>
    </xf>
    <xf numFmtId="0" fontId="2" fillId="0" borderId="48" xfId="0" applyFont="1" applyBorder="1" applyAlignment="1">
      <alignment horizontal="center" vertical="center" textRotation="180"/>
    </xf>
    <xf numFmtId="0" fontId="1" fillId="0" borderId="0" xfId="0" applyFont="1" applyAlignment="1">
      <alignment horizontal="left" vertical="center" wrapText="1"/>
    </xf>
    <xf numFmtId="0" fontId="15" fillId="11" borderId="0" xfId="0" applyFont="1" applyFill="1" applyAlignment="1">
      <alignment horizontal="left" vertical="center"/>
    </xf>
    <xf numFmtId="0" fontId="16" fillId="5" borderId="45" xfId="0" applyFont="1" applyFill="1" applyBorder="1" applyAlignment="1">
      <alignment horizontal="left" vertical="center"/>
    </xf>
    <xf numFmtId="0" fontId="16" fillId="5" borderId="46" xfId="0" applyFont="1" applyFill="1" applyBorder="1" applyAlignment="1">
      <alignment horizontal="left" vertical="center"/>
    </xf>
    <xf numFmtId="0" fontId="16" fillId="5" borderId="47" xfId="0" applyFont="1" applyFill="1" applyBorder="1" applyAlignment="1">
      <alignment horizontal="left" vertical="center"/>
    </xf>
    <xf numFmtId="0" fontId="7" fillId="7" borderId="11" xfId="0" applyFont="1" applyFill="1" applyBorder="1" applyAlignment="1">
      <alignment horizontal="center" vertical="center" wrapText="1"/>
    </xf>
    <xf numFmtId="0" fontId="13" fillId="0" borderId="6" xfId="0" applyFont="1" applyBorder="1" applyAlignment="1">
      <alignment horizontal="left" vertical="center" wrapText="1"/>
    </xf>
    <xf numFmtId="0" fontId="13" fillId="0" borderId="43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14" fontId="14" fillId="0" borderId="6" xfId="0" applyNumberFormat="1" applyFont="1" applyBorder="1" applyAlignment="1">
      <alignment horizontal="right" vertical="center" wrapText="1"/>
    </xf>
    <xf numFmtId="14" fontId="14" fillId="0" borderId="43" xfId="0" applyNumberFormat="1" applyFont="1" applyBorder="1" applyAlignment="1">
      <alignment horizontal="right" vertical="center" wrapText="1"/>
    </xf>
    <xf numFmtId="14" fontId="14" fillId="0" borderId="2" xfId="0" applyNumberFormat="1" applyFont="1" applyBorder="1" applyAlignment="1">
      <alignment horizontal="right" vertical="center" wrapText="1"/>
    </xf>
    <xf numFmtId="0" fontId="14" fillId="0" borderId="6" xfId="0" applyFont="1" applyBorder="1" applyAlignment="1">
      <alignment horizontal="left" vertical="center" wrapText="1"/>
    </xf>
    <xf numFmtId="0" fontId="14" fillId="0" borderId="43" xfId="0" applyFont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 wrapText="1"/>
    </xf>
    <xf numFmtId="0" fontId="16" fillId="6" borderId="13" xfId="0" applyFont="1" applyFill="1" applyBorder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40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40" xfId="0" applyFont="1" applyFill="1" applyBorder="1" applyAlignment="1">
      <alignment horizontal="center" vertical="center"/>
    </xf>
    <xf numFmtId="0" fontId="5" fillId="3" borderId="39" xfId="0" applyFont="1" applyFill="1" applyBorder="1" applyAlignment="1">
      <alignment horizontal="center" vertical="center"/>
    </xf>
    <xf numFmtId="0" fontId="5" fillId="3" borderId="40" xfId="0" applyFont="1" applyFill="1" applyBorder="1" applyAlignment="1">
      <alignment horizontal="center" vertical="center"/>
    </xf>
    <xf numFmtId="0" fontId="5" fillId="8" borderId="39" xfId="0" applyFont="1" applyFill="1" applyBorder="1" applyAlignment="1">
      <alignment horizontal="center" vertical="center"/>
    </xf>
    <xf numFmtId="0" fontId="5" fillId="4" borderId="39" xfId="0" applyFont="1" applyFill="1" applyBorder="1" applyAlignment="1">
      <alignment horizontal="center" vertical="center"/>
    </xf>
    <xf numFmtId="0" fontId="5" fillId="4" borderId="4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4" fillId="3" borderId="39" xfId="0" applyFont="1" applyFill="1" applyBorder="1" applyAlignment="1">
      <alignment horizontal="center" vertical="center"/>
    </xf>
    <xf numFmtId="0" fontId="4" fillId="3" borderId="40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41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/>
    </xf>
    <xf numFmtId="0" fontId="4" fillId="8" borderId="40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textRotation="90" wrapText="1"/>
    </xf>
    <xf numFmtId="0" fontId="2" fillId="0" borderId="8" xfId="0" applyFont="1" applyBorder="1" applyAlignment="1">
      <alignment horizontal="center" textRotation="90" wrapText="1"/>
    </xf>
    <xf numFmtId="0" fontId="2" fillId="0" borderId="9" xfId="0" applyFont="1" applyBorder="1" applyAlignment="1">
      <alignment horizontal="center" textRotation="90" wrapText="1"/>
    </xf>
    <xf numFmtId="0" fontId="1" fillId="9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66FF33"/>
        </patternFill>
      </fill>
    </dxf>
    <dxf>
      <font>
        <b/>
        <i val="0"/>
        <color auto="1"/>
      </font>
      <fill>
        <patternFill>
          <bgColor rgb="FF66FF33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9FF33"/>
        </patternFill>
      </fill>
    </dxf>
    <dxf>
      <font>
        <b/>
        <i val="0"/>
      </font>
      <fill>
        <patternFill>
          <bgColor rgb="FF99FF33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9FF33"/>
        </patternFill>
      </fill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99FF33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9FF33"/>
        </patternFill>
      </fill>
    </dxf>
    <dxf>
      <font>
        <b val="0"/>
        <i val="0"/>
      </font>
      <fill>
        <gradientFill degree="90">
          <stop position="0">
            <color theme="0"/>
          </stop>
          <stop position="1">
            <color theme="0" tint="-0.1490218817712943"/>
          </stop>
        </gradientFill>
      </fill>
    </dxf>
    <dxf>
      <font>
        <b/>
        <i val="0"/>
        <u val="none"/>
      </font>
      <fill>
        <patternFill>
          <bgColor rgb="FF99FF33"/>
        </patternFill>
      </fill>
    </dxf>
    <dxf>
      <font>
        <b/>
        <i val="0"/>
        <u val="none"/>
      </font>
      <fill>
        <patternFill>
          <bgColor rgb="FF99FF33"/>
        </patternFill>
      </fill>
    </dxf>
    <dxf>
      <font>
        <b/>
        <i val="0"/>
        <strike val="0"/>
        <u val="none"/>
      </font>
      <fill>
        <patternFill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theme="3" tint="0.39994506668294322"/>
        </left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theme="3" tint="0.3999450666829432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theme="3" tint="0.39994506668294322"/>
        </left>
        <right style="thin">
          <color theme="3" tint="0.3999450666829432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top" textRotation="0" wrapText="1" indent="0" justifyLastLine="0" shrinkToFit="0" readingOrder="0"/>
      <border outline="0">
        <right style="thin">
          <color theme="3" tint="0.3999450666829432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center" textRotation="0" wrapText="1" indent="0" justifyLastLine="0" shrinkToFit="0" readingOrder="0"/>
      <border outline="0">
        <right style="thin">
          <color theme="3" tint="0.39994506668294322"/>
        </right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 style="thin">
          <color theme="3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3" tint="0.39994506668294322"/>
        </left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general" vertical="bottom" textRotation="90" wrapText="1" indent="0" justifyLastLine="0" shrinkToFit="0" readingOrder="0"/>
      <border diagonalUp="0" diagonalDown="0">
        <left style="thin">
          <color theme="3" tint="0.39994506668294322"/>
        </left>
        <right style="thin">
          <color theme="3" tint="0.3999450666829432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theme="3" tint="0.39994506668294322"/>
        </left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theme="3" tint="0.3999450666829432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theme="3" tint="0.39994506668294322"/>
        </left>
        <right style="thin">
          <color theme="3" tint="0.3999450666829432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top" textRotation="0" wrapText="1" indent="0" justifyLastLine="0" shrinkToFit="0" readingOrder="0"/>
      <border outline="0">
        <right style="thin">
          <color theme="3" tint="0.3999450666829432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center" textRotation="0" wrapText="1" indent="0" justifyLastLine="0" shrinkToFit="0" readingOrder="0"/>
      <border outline="0">
        <right style="thin">
          <color theme="3" tint="0.39994506668294322"/>
        </right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 style="thin">
          <color theme="3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3" tint="0.39994506668294322"/>
        </left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general" vertical="bottom" textRotation="90" wrapText="1" indent="0" justifyLastLine="0" shrinkToFit="0" readingOrder="0"/>
      <border diagonalUp="0" diagonalDown="0">
        <left style="thin">
          <color theme="3" tint="0.39994506668294322"/>
        </left>
        <right style="thin">
          <color theme="3" tint="0.3999450666829432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general" vertical="center" textRotation="0" wrapText="1" indent="0" justifyLastLine="0" shrinkToFit="0" readingOrder="0"/>
      <border outline="0">
        <left style="thin">
          <color theme="3" tint="0.39994506668294322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theme="3" tint="0.3999450666829432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theme="3" tint="0.39994506668294322"/>
        </left>
        <right style="thin">
          <color theme="3" tint="0.3999450666829432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top" textRotation="0" wrapText="1" indent="0" justifyLastLine="0" shrinkToFit="0" readingOrder="0"/>
      <border outline="0">
        <right style="thin">
          <color theme="3" tint="0.3999450666829432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center" textRotation="0" wrapText="1" indent="0" justifyLastLine="0" shrinkToFit="0" readingOrder="0"/>
      <border outline="0">
        <right style="thin">
          <color theme="3" tint="0.39994506668294322"/>
        </right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scheme val="none"/>
      </font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 style="thin">
          <color theme="3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3" tint="0.39994506668294322"/>
        </left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center" vertical="bottom" textRotation="90" wrapText="1" indent="0" justifyLastLine="0" shrinkToFit="0" readingOrder="0"/>
      <border diagonalUp="0" diagonalDown="0" outline="0">
        <left style="thin">
          <color theme="3" tint="0.39994506668294322"/>
        </left>
        <right style="thin">
          <color theme="3" tint="0.39994506668294322"/>
        </right>
        <top/>
        <bottom/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7</xdr:row>
          <xdr:rowOff>82550</xdr:rowOff>
        </xdr:from>
        <xdr:to>
          <xdr:col>10</xdr:col>
          <xdr:colOff>444500</xdr:colOff>
          <xdr:row>11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E9F8E31-1967-17A2-F094-7390B2941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Blanquear todos los campos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73</xdr:row>
          <xdr:rowOff>44450</xdr:rowOff>
        </xdr:from>
        <xdr:to>
          <xdr:col>4</xdr:col>
          <xdr:colOff>215900</xdr:colOff>
          <xdr:row>76</xdr:row>
          <xdr:rowOff>127000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E1035CB-F8A7-7CBA-D844-AEB03C1ED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entury Gothic"/>
                </a:rPr>
                <a:t>Determinar la envergadura del proyecto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7</xdr:row>
          <xdr:rowOff>25400</xdr:rowOff>
        </xdr:from>
        <xdr:to>
          <xdr:col>13</xdr:col>
          <xdr:colOff>476250</xdr:colOff>
          <xdr:row>8</xdr:row>
          <xdr:rowOff>50800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1615458A-1B41-A452-9EB0-48817CD2F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101600</xdr:colOff>
          <xdr:row>9</xdr:row>
          <xdr:rowOff>25400</xdr:rowOff>
        </xdr:from>
        <xdr:to>
          <xdr:col>13</xdr:col>
          <xdr:colOff>482600</xdr:colOff>
          <xdr:row>10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3D43E143-CAB2-23CA-9AAF-5588CE2BA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101600</xdr:colOff>
          <xdr:row>11</xdr:row>
          <xdr:rowOff>31750</xdr:rowOff>
        </xdr:from>
        <xdr:to>
          <xdr:col>13</xdr:col>
          <xdr:colOff>482600</xdr:colOff>
          <xdr:row>12</xdr:row>
          <xdr:rowOff>50800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8F93E5D2-DABA-E674-B839-D2D795608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13</xdr:row>
          <xdr:rowOff>50800</xdr:rowOff>
        </xdr:from>
        <xdr:to>
          <xdr:col>13</xdr:col>
          <xdr:colOff>508000</xdr:colOff>
          <xdr:row>14</xdr:row>
          <xdr:rowOff>63500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34BF75BD-719D-2772-348D-A75ADE0C8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Blanqueo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431800</xdr:colOff>
          <xdr:row>10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4D5C04C-135F-ADCB-263D-AC005B039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431800</xdr:colOff>
          <xdr:row>12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18A7A889-3ACF-04E9-682D-5A0F5B6F1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31750</xdr:rowOff>
        </xdr:from>
        <xdr:to>
          <xdr:col>14</xdr:col>
          <xdr:colOff>431800</xdr:colOff>
          <xdr:row>8</xdr:row>
          <xdr:rowOff>57150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639A0E3E-6231-E649-EBAE-48577C400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13</xdr:row>
          <xdr:rowOff>50800</xdr:rowOff>
        </xdr:from>
        <xdr:to>
          <xdr:col>14</xdr:col>
          <xdr:colOff>438150</xdr:colOff>
          <xdr:row>14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DBF29280-F086-0D7B-5090-C5B990289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Blanqueo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88900</xdr:colOff>
          <xdr:row>7</xdr:row>
          <xdr:rowOff>31750</xdr:rowOff>
        </xdr:from>
        <xdr:to>
          <xdr:col>15</xdr:col>
          <xdr:colOff>469900</xdr:colOff>
          <xdr:row>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CAEC2536-5835-3C8F-9C78-7E048E7381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9</xdr:row>
          <xdr:rowOff>25400</xdr:rowOff>
        </xdr:from>
        <xdr:to>
          <xdr:col>15</xdr:col>
          <xdr:colOff>476250</xdr:colOff>
          <xdr:row>10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1217E192-5C91-9054-BA2F-48821A78B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82550</xdr:colOff>
          <xdr:row>11</xdr:row>
          <xdr:rowOff>31750</xdr:rowOff>
        </xdr:from>
        <xdr:to>
          <xdr:col>15</xdr:col>
          <xdr:colOff>463550</xdr:colOff>
          <xdr:row>12</xdr:row>
          <xdr:rowOff>50800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28D1AC4C-A68A-9B0C-21C5-D6ACE107C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69850</xdr:colOff>
          <xdr:row>13</xdr:row>
          <xdr:rowOff>50800</xdr:rowOff>
        </xdr:from>
        <xdr:to>
          <xdr:col>15</xdr:col>
          <xdr:colOff>508000</xdr:colOff>
          <xdr:row>14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E18FDB55-9256-CA9C-0BE6-D33FBC174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Blanqueo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12</xdr:row>
          <xdr:rowOff>25400</xdr:rowOff>
        </xdr:from>
        <xdr:to>
          <xdr:col>8</xdr:col>
          <xdr:colOff>400050</xdr:colOff>
          <xdr:row>13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72FC5E6-ECDE-F6DD-EBDD-7085C79DB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F16:H23" totalsRowShown="0" headerRowDxfId="91" dataDxfId="90" tableBorderDxfId="89">
  <tableColumns count="3">
    <tableColumn id="1" xr3:uid="{00000000-0010-0000-0000-000001000000}" name="Desarrollo de SW" dataDxfId="88"/>
    <tableColumn id="2" xr3:uid="{00000000-0010-0000-0000-000002000000}" name="Tecnología" dataDxfId="87"/>
    <tableColumn id="3" xr3:uid="{00000000-0010-0000-0000-000003000000}" name="Otros" dataDxfId="8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A16:E23" totalsRowShown="0" dataDxfId="84" headerRowBorderDxfId="85" tableBorderDxfId="83">
  <tableColumns count="5">
    <tableColumn id="1" xr3:uid="{00000000-0010-0000-0100-000001000000}" name="Complejidad del proyecto" dataDxfId="82"/>
    <tableColumn id="2" xr3:uid="{00000000-0010-0000-0100-000002000000}" name="Baja" dataDxfId="81"/>
    <tableColumn id="3" xr3:uid="{00000000-0010-0000-0100-000003000000}" name="Media" dataDxfId="80"/>
    <tableColumn id="4" xr3:uid="{00000000-0010-0000-0100-000004000000}" name="Alta" dataDxfId="79"/>
    <tableColumn id="5" xr3:uid="{00000000-0010-0000-0100-000005000000}" name="Seleccionar" dataDxfId="78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15" displayName="Tabla15" ref="F41:H46" totalsRowShown="0" headerRowDxfId="77" dataDxfId="76" tableBorderDxfId="75">
  <tableColumns count="3">
    <tableColumn id="1" xr3:uid="{00000000-0010-0000-0200-000001000000}" name="Desarrollo de SW" dataDxfId="74"/>
    <tableColumn id="2" xr3:uid="{00000000-0010-0000-0200-000002000000}" name="Tecnología" dataDxfId="73"/>
    <tableColumn id="3" xr3:uid="{00000000-0010-0000-0200-000003000000}" name="Otros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36" displayName="Tabla36" ref="A41:E46" totalsRowShown="0" dataDxfId="70" headerRowBorderDxfId="71" tableBorderDxfId="69">
  <tableColumns count="5">
    <tableColumn id="1" xr3:uid="{00000000-0010-0000-0300-000001000000}" name="Incertidumbre del proyecto" dataDxfId="68"/>
    <tableColumn id="2" xr3:uid="{00000000-0010-0000-0300-000002000000}" name="Baja" dataDxfId="67"/>
    <tableColumn id="3" xr3:uid="{00000000-0010-0000-0300-000003000000}" name="Media" dataDxfId="66"/>
    <tableColumn id="4" xr3:uid="{00000000-0010-0000-0300-000004000000}" name="Alta" dataDxfId="65"/>
    <tableColumn id="5" xr3:uid="{00000000-0010-0000-0300-000005000000}" name="Seleccionar" dataDxfId="64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la157" displayName="Tabla157" ref="F64:H66" totalsRowShown="0" headerRowDxfId="63" dataDxfId="62" tableBorderDxfId="61">
  <tableColumns count="3">
    <tableColumn id="1" xr3:uid="{00000000-0010-0000-0400-000001000000}" name="Desarrollo de SW" dataDxfId="60"/>
    <tableColumn id="2" xr3:uid="{00000000-0010-0000-0400-000002000000}" name="Tecnología" dataDxfId="59"/>
    <tableColumn id="3" xr3:uid="{00000000-0010-0000-0400-000003000000}" name="Otros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a368" displayName="Tabla368" ref="A64:E66" totalsRowShown="0" dataDxfId="56" headerRowBorderDxfId="57" tableBorderDxfId="55">
  <tableColumns count="5">
    <tableColumn id="1" xr3:uid="{00000000-0010-0000-0500-000001000000}" name="Criticidad del proyecto" dataDxfId="54"/>
    <tableColumn id="2" xr3:uid="{00000000-0010-0000-0500-000002000000}" name="Baja" dataDxfId="53"/>
    <tableColumn id="3" xr3:uid="{00000000-0010-0000-0500-000003000000}" name="Media" dataDxfId="52"/>
    <tableColumn id="4" xr3:uid="{00000000-0010-0000-0500-000004000000}" name="Alta" dataDxfId="51"/>
    <tableColumn id="5" xr3:uid="{00000000-0010-0000-0500-000005000000}" name="Seleccionar" dataDxfId="50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a8" displayName="Tabla8" ref="B8:E13" totalsRowShown="0" headerRowDxfId="49" dataDxfId="48">
  <tableColumns count="4">
    <tableColumn id="1" xr3:uid="{00000000-0010-0000-0600-000001000000}" name="Baja" dataDxfId="47"/>
    <tableColumn id="2" xr3:uid="{00000000-0010-0000-0600-000002000000}" name="Media" dataDxfId="46"/>
    <tableColumn id="3" xr3:uid="{00000000-0010-0000-0600-000003000000}" name="Alta" dataDxfId="45"/>
    <tableColumn id="4" xr3:uid="{00000000-0010-0000-0600-000004000000}" name="Resultado" dataDxfId="4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810" displayName="Tabla810" ref="B33:E37" totalsRowShown="0" headerRowDxfId="43" dataDxfId="42">
  <tableColumns count="4">
    <tableColumn id="1" xr3:uid="{00000000-0010-0000-0700-000001000000}" name="Baja" dataDxfId="41"/>
    <tableColumn id="2" xr3:uid="{00000000-0010-0000-0700-000002000000}" name="Media" dataDxfId="40"/>
    <tableColumn id="3" xr3:uid="{00000000-0010-0000-0700-000003000000}" name="Alta" dataDxfId="39"/>
    <tableColumn id="4" xr3:uid="{00000000-0010-0000-0700-000004000000}" name="Resultado" dataDxfId="3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abla81011" displayName="Tabla81011" ref="B56:E60" totalsRowShown="0" headerRowDxfId="37" dataDxfId="36">
  <tableColumns count="4">
    <tableColumn id="1" xr3:uid="{00000000-0010-0000-0800-000001000000}" name="Baja" dataDxfId="35"/>
    <tableColumn id="2" xr3:uid="{00000000-0010-0000-0800-000002000000}" name="Media" dataDxfId="34"/>
    <tableColumn id="3" xr3:uid="{00000000-0010-0000-0800-000003000000}" name="Alta" dataDxfId="33"/>
    <tableColumn id="4" xr3:uid="{00000000-0010-0000-0800-000004000000}" name="Resultado" dataDxfId="3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9000000}" name="Tabla830" displayName="Tabla830" ref="Q1:T6" totalsRowShown="0" headerRowDxfId="5" dataDxfId="4">
  <tableColumns count="4">
    <tableColumn id="1" xr3:uid="{00000000-0010-0000-0900-000001000000}" name="Baja" dataDxfId="3"/>
    <tableColumn id="2" xr3:uid="{00000000-0010-0000-0900-000002000000}" name="Media" dataDxfId="2"/>
    <tableColumn id="3" xr3:uid="{00000000-0010-0000-0900-000003000000}" name="Alta" dataDxfId="1"/>
    <tableColumn id="4" xr3:uid="{00000000-0010-0000-0900-000004000000}" name="Resultado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26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table" Target="../tables/table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table" Target="../tables/table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71"/>
  <sheetViews>
    <sheetView tabSelected="1" zoomScale="85" zoomScaleNormal="85" workbookViewId="0">
      <pane ySplit="3" topLeftCell="A64" activePane="bottomLeft" state="frozen"/>
      <selection pane="bottomLeft" activeCell="D67" sqref="D67"/>
    </sheetView>
  </sheetViews>
  <sheetFormatPr baseColWidth="10" defaultColWidth="11.453125" defaultRowHeight="12.5" x14ac:dyDescent="0.35"/>
  <cols>
    <col min="1" max="1" width="27.1796875" style="6" customWidth="1"/>
    <col min="2" max="4" width="24.7265625" style="6" customWidth="1"/>
    <col min="5" max="5" width="12.26953125" style="6" customWidth="1"/>
    <col min="6" max="8" width="6.81640625" style="6" customWidth="1"/>
    <col min="9" max="9" width="7" style="6" customWidth="1"/>
    <col min="10" max="10" width="3.453125" style="6" customWidth="1"/>
    <col min="11" max="11" width="30.81640625" style="6" customWidth="1"/>
    <col min="12" max="12" width="2.1796875" style="6" hidden="1" customWidth="1"/>
    <col min="13" max="13" width="0" style="6" hidden="1" customWidth="1"/>
    <col min="14" max="14" width="13.26953125" style="6" bestFit="1" customWidth="1"/>
    <col min="15" max="15" width="10.26953125" style="6" customWidth="1"/>
    <col min="16" max="16" width="12" style="6" customWidth="1"/>
    <col min="17" max="17" width="5.1796875" style="6" customWidth="1"/>
    <col min="18" max="16384" width="11.453125" style="6"/>
  </cols>
  <sheetData>
    <row r="1" spans="1:17" ht="19.899999999999999" customHeight="1" thickBot="1" x14ac:dyDescent="0.4">
      <c r="A1" s="73" t="s">
        <v>115</v>
      </c>
      <c r="B1" s="88" t="s">
        <v>116</v>
      </c>
      <c r="C1" s="89"/>
      <c r="D1" s="90"/>
    </row>
    <row r="2" spans="1:17" ht="19.899999999999999" customHeight="1" thickBot="1" x14ac:dyDescent="0.4">
      <c r="A2" s="74" t="s">
        <v>117</v>
      </c>
      <c r="B2" s="91"/>
      <c r="C2" s="92"/>
      <c r="D2" s="93"/>
    </row>
    <row r="3" spans="1:17" ht="19.899999999999999" customHeight="1" thickBot="1" x14ac:dyDescent="0.4">
      <c r="A3" s="74" t="s">
        <v>118</v>
      </c>
      <c r="B3" s="94"/>
      <c r="C3" s="95"/>
      <c r="D3" s="96"/>
    </row>
    <row r="4" spans="1:17" x14ac:dyDescent="0.35">
      <c r="A4" s="12"/>
    </row>
    <row r="5" spans="1:17" x14ac:dyDescent="0.35">
      <c r="A5" s="12"/>
    </row>
    <row r="6" spans="1:17" ht="25.9" customHeight="1" thickBot="1" x14ac:dyDescent="0.4">
      <c r="A6" s="83" t="s">
        <v>119</v>
      </c>
      <c r="B6" s="83"/>
      <c r="C6" s="83"/>
      <c r="D6" s="83"/>
      <c r="E6" s="83"/>
      <c r="F6" s="83"/>
      <c r="G6" s="83"/>
      <c r="H6" s="83"/>
      <c r="I6" s="75"/>
      <c r="J6" s="75"/>
    </row>
    <row r="7" spans="1:17" ht="28.5" customHeight="1" thickBot="1" x14ac:dyDescent="0.4">
      <c r="A7" s="12"/>
      <c r="J7" s="55"/>
      <c r="K7" s="67"/>
      <c r="L7" s="65"/>
      <c r="M7" s="59"/>
      <c r="N7" s="62" t="s">
        <v>112</v>
      </c>
      <c r="O7" s="63" t="s">
        <v>4</v>
      </c>
      <c r="P7" s="64" t="s">
        <v>113</v>
      </c>
      <c r="Q7" s="80" t="s">
        <v>114</v>
      </c>
    </row>
    <row r="8" spans="1:17" x14ac:dyDescent="0.35">
      <c r="A8" s="82" t="s">
        <v>120</v>
      </c>
      <c r="B8" s="13" t="s">
        <v>7</v>
      </c>
      <c r="C8" s="13" t="s">
        <v>6</v>
      </c>
      <c r="D8" s="13" t="s">
        <v>15</v>
      </c>
      <c r="E8" s="13" t="s">
        <v>91</v>
      </c>
      <c r="J8" s="56"/>
      <c r="K8" s="68"/>
      <c r="L8" s="54"/>
      <c r="M8" s="53"/>
      <c r="N8" s="60"/>
      <c r="O8" s="60"/>
      <c r="P8" s="61"/>
      <c r="Q8" s="81"/>
    </row>
    <row r="9" spans="1:17" ht="14.5" x14ac:dyDescent="0.35">
      <c r="A9" s="82"/>
      <c r="B9" s="37" t="s">
        <v>83</v>
      </c>
      <c r="C9" s="37" t="s">
        <v>84</v>
      </c>
      <c r="D9" s="37">
        <v>0</v>
      </c>
      <c r="E9" s="13" t="s">
        <v>7</v>
      </c>
      <c r="J9" s="56"/>
      <c r="K9" s="68"/>
      <c r="L9" s="54"/>
      <c r="M9" s="53"/>
      <c r="N9" s="53"/>
      <c r="O9" s="53"/>
      <c r="P9" s="58"/>
      <c r="Q9" s="81"/>
    </row>
    <row r="10" spans="1:17" ht="14.5" x14ac:dyDescent="0.35">
      <c r="A10" s="82"/>
      <c r="B10" s="37" t="s">
        <v>83</v>
      </c>
      <c r="C10" s="37" t="s">
        <v>85</v>
      </c>
      <c r="D10" s="37" t="s">
        <v>84</v>
      </c>
      <c r="E10" s="13" t="s">
        <v>7</v>
      </c>
      <c r="J10" s="56"/>
      <c r="K10" s="68"/>
      <c r="L10" s="54"/>
      <c r="M10" s="53"/>
      <c r="N10" s="53"/>
      <c r="O10" s="53"/>
      <c r="P10" s="58"/>
      <c r="Q10" s="81"/>
    </row>
    <row r="11" spans="1:17" ht="14.5" x14ac:dyDescent="0.35">
      <c r="A11" s="82"/>
      <c r="B11" s="37" t="s">
        <v>86</v>
      </c>
      <c r="C11" s="37" t="s">
        <v>84</v>
      </c>
      <c r="D11" s="37" t="s">
        <v>84</v>
      </c>
      <c r="E11" s="13" t="s">
        <v>6</v>
      </c>
      <c r="J11" s="56"/>
      <c r="K11" s="68"/>
      <c r="L11" s="54"/>
      <c r="M11" s="53"/>
      <c r="N11" s="53"/>
      <c r="O11" s="53"/>
      <c r="P11" s="58"/>
      <c r="Q11" s="81"/>
    </row>
    <row r="12" spans="1:17" ht="14.5" x14ac:dyDescent="0.35">
      <c r="A12" s="82"/>
      <c r="B12" s="37" t="s">
        <v>86</v>
      </c>
      <c r="C12" s="37" t="s">
        <v>88</v>
      </c>
      <c r="D12" s="37" t="s">
        <v>84</v>
      </c>
      <c r="E12" s="13" t="s">
        <v>6</v>
      </c>
      <c r="J12" s="56"/>
      <c r="K12" s="68"/>
      <c r="L12" s="54"/>
      <c r="M12" s="53"/>
      <c r="N12" s="53"/>
      <c r="O12" s="53"/>
      <c r="P12" s="58"/>
      <c r="Q12" s="81"/>
    </row>
    <row r="13" spans="1:17" ht="14.5" x14ac:dyDescent="0.35">
      <c r="A13" s="82"/>
      <c r="B13" s="37" t="s">
        <v>99</v>
      </c>
      <c r="C13" s="37" t="s">
        <v>99</v>
      </c>
      <c r="D13" s="37" t="s">
        <v>88</v>
      </c>
      <c r="E13" s="13" t="s">
        <v>15</v>
      </c>
      <c r="J13" s="56"/>
      <c r="K13" s="68"/>
      <c r="L13" s="54"/>
      <c r="M13" s="53"/>
      <c r="N13" s="53"/>
      <c r="O13" s="53"/>
      <c r="P13" s="58"/>
      <c r="Q13" s="81"/>
    </row>
    <row r="14" spans="1:17" x14ac:dyDescent="0.35">
      <c r="J14" s="56"/>
      <c r="K14" s="68"/>
      <c r="L14" s="54"/>
      <c r="M14" s="53"/>
      <c r="N14" s="53"/>
      <c r="O14" s="53"/>
      <c r="P14" s="58"/>
      <c r="Q14" s="81"/>
    </row>
    <row r="15" spans="1:17" ht="32.5" customHeight="1" thickBot="1" x14ac:dyDescent="0.4">
      <c r="A15" s="24"/>
      <c r="B15" s="24"/>
      <c r="C15" s="24"/>
      <c r="D15" s="24"/>
      <c r="E15" s="24"/>
      <c r="F15" s="87" t="s">
        <v>41</v>
      </c>
      <c r="G15" s="87"/>
      <c r="H15" s="87"/>
      <c r="J15" s="57"/>
      <c r="K15" s="69"/>
      <c r="L15" s="66"/>
      <c r="M15" s="78"/>
      <c r="N15" s="78"/>
      <c r="O15" s="78"/>
      <c r="P15" s="79"/>
      <c r="Q15" s="77"/>
    </row>
    <row r="16" spans="1:17" ht="60" customHeight="1" x14ac:dyDescent="0.35">
      <c r="A16" s="16" t="s">
        <v>13</v>
      </c>
      <c r="B16" s="17" t="s">
        <v>7</v>
      </c>
      <c r="C16" s="18" t="s">
        <v>6</v>
      </c>
      <c r="D16" s="19" t="s">
        <v>15</v>
      </c>
      <c r="E16" s="16" t="s">
        <v>28</v>
      </c>
      <c r="F16" s="25" t="s">
        <v>42</v>
      </c>
      <c r="G16" s="25" t="s">
        <v>30</v>
      </c>
      <c r="H16" s="25" t="s">
        <v>31</v>
      </c>
      <c r="M16" s="13"/>
      <c r="N16" s="13"/>
      <c r="O16" s="13"/>
      <c r="P16" s="13"/>
    </row>
    <row r="17" spans="1:17" ht="34.5" x14ac:dyDescent="0.35">
      <c r="A17" s="20" t="s">
        <v>19</v>
      </c>
      <c r="B17" s="23" t="s">
        <v>20</v>
      </c>
      <c r="C17" s="23" t="s">
        <v>21</v>
      </c>
      <c r="D17" s="23" t="s">
        <v>22</v>
      </c>
      <c r="E17" s="21"/>
      <c r="F17" s="22" t="s">
        <v>32</v>
      </c>
      <c r="G17" s="22" t="s">
        <v>32</v>
      </c>
      <c r="H17" s="22" t="s">
        <v>32</v>
      </c>
      <c r="J17" s="10"/>
      <c r="K17" s="10"/>
      <c r="L17" s="10"/>
      <c r="M17" s="10"/>
      <c r="N17" s="10"/>
      <c r="O17" s="10"/>
      <c r="P17" s="10"/>
      <c r="Q17" s="10"/>
    </row>
    <row r="18" spans="1:17" s="10" customFormat="1" ht="34.5" x14ac:dyDescent="0.35">
      <c r="A18" s="20" t="s">
        <v>23</v>
      </c>
      <c r="B18" s="23" t="s">
        <v>24</v>
      </c>
      <c r="C18" s="23" t="s">
        <v>35</v>
      </c>
      <c r="D18" s="23" t="s">
        <v>36</v>
      </c>
      <c r="E18" s="21"/>
      <c r="F18" s="22" t="s">
        <v>32</v>
      </c>
      <c r="G18" s="22"/>
      <c r="H18" s="22" t="s">
        <v>33</v>
      </c>
      <c r="K18" s="70"/>
    </row>
    <row r="19" spans="1:17" s="10" customFormat="1" ht="57.5" x14ac:dyDescent="0.35">
      <c r="A19" s="20" t="s">
        <v>34</v>
      </c>
      <c r="B19" s="23" t="s">
        <v>37</v>
      </c>
      <c r="C19" s="23" t="s">
        <v>38</v>
      </c>
      <c r="D19" s="23" t="s">
        <v>39</v>
      </c>
      <c r="E19" s="21"/>
      <c r="F19" s="22" t="s">
        <v>32</v>
      </c>
      <c r="G19" s="22" t="s">
        <v>32</v>
      </c>
      <c r="H19" s="22" t="s">
        <v>32</v>
      </c>
      <c r="K19" s="70"/>
    </row>
    <row r="20" spans="1:17" s="10" customFormat="1" ht="46" x14ac:dyDescent="0.35">
      <c r="A20" s="20" t="s">
        <v>25</v>
      </c>
      <c r="B20" s="23" t="s">
        <v>26</v>
      </c>
      <c r="C20" s="23" t="s">
        <v>40</v>
      </c>
      <c r="D20" s="23" t="s">
        <v>27</v>
      </c>
      <c r="E20" s="21"/>
      <c r="F20" s="22" t="s">
        <v>32</v>
      </c>
      <c r="G20" s="22" t="s">
        <v>32</v>
      </c>
      <c r="H20" s="22" t="s">
        <v>32</v>
      </c>
      <c r="K20" s="70"/>
    </row>
    <row r="21" spans="1:17" s="10" customFormat="1" ht="57.5" x14ac:dyDescent="0.35">
      <c r="A21" s="20" t="s">
        <v>43</v>
      </c>
      <c r="B21" s="23" t="s">
        <v>46</v>
      </c>
      <c r="C21" s="23" t="s">
        <v>47</v>
      </c>
      <c r="D21" s="23" t="s">
        <v>48</v>
      </c>
      <c r="E21" s="21"/>
      <c r="F21" s="22" t="s">
        <v>32</v>
      </c>
      <c r="G21" s="22"/>
      <c r="H21" s="22" t="s">
        <v>33</v>
      </c>
    </row>
    <row r="22" spans="1:17" s="10" customFormat="1" ht="46" x14ac:dyDescent="0.35">
      <c r="A22" s="20" t="s">
        <v>44</v>
      </c>
      <c r="B22" s="23" t="s">
        <v>45</v>
      </c>
      <c r="C22" s="23" t="s">
        <v>49</v>
      </c>
      <c r="D22" s="23" t="s">
        <v>50</v>
      </c>
      <c r="E22" s="21"/>
      <c r="F22" s="22"/>
      <c r="G22" s="22" t="s">
        <v>32</v>
      </c>
      <c r="H22" s="22" t="s">
        <v>33</v>
      </c>
      <c r="J22" s="6"/>
      <c r="K22" s="6"/>
      <c r="L22" s="6"/>
      <c r="M22" s="6"/>
      <c r="N22" s="6"/>
      <c r="O22" s="6"/>
      <c r="P22" s="6"/>
      <c r="Q22" s="6"/>
    </row>
    <row r="23" spans="1:17" ht="69" x14ac:dyDescent="0.35">
      <c r="A23" s="20" t="s">
        <v>51</v>
      </c>
      <c r="B23" s="23" t="s">
        <v>52</v>
      </c>
      <c r="C23" s="23" t="s">
        <v>53</v>
      </c>
      <c r="D23" s="23" t="s">
        <v>78</v>
      </c>
      <c r="E23" s="21"/>
      <c r="F23" s="22" t="s">
        <v>32</v>
      </c>
      <c r="G23" s="22" t="s">
        <v>32</v>
      </c>
      <c r="H23" s="22" t="s">
        <v>32</v>
      </c>
    </row>
    <row r="24" spans="1:17" x14ac:dyDescent="0.35">
      <c r="A24" s="15"/>
      <c r="B24" s="27"/>
      <c r="C24" s="27"/>
      <c r="D24" s="27"/>
      <c r="E24" s="10"/>
      <c r="F24" s="14"/>
      <c r="G24" s="14"/>
      <c r="H24" s="14"/>
    </row>
    <row r="25" spans="1:17" x14ac:dyDescent="0.35">
      <c r="A25" s="15"/>
      <c r="B25" s="12" t="s">
        <v>94</v>
      </c>
      <c r="D25" s="12" t="s">
        <v>13</v>
      </c>
      <c r="E25" s="10"/>
      <c r="F25" s="14"/>
      <c r="G25" s="14"/>
      <c r="H25" s="14"/>
    </row>
    <row r="26" spans="1:17" x14ac:dyDescent="0.35">
      <c r="A26" s="15"/>
      <c r="B26" s="33" t="s">
        <v>7</v>
      </c>
      <c r="C26" s="11">
        <f>+COUNTIF(E$17:E$23,"Baja")</f>
        <v>0</v>
      </c>
      <c r="D26" s="34" t="str">
        <f>IF(L27&lt;7, " ",IF(AND(C26=0,C27=0,C28=0)," ",IF(OR(AND(C$26&gt;=5,C$28=0,C27&lt;=2),AND(C$26&gt;=5,C$28&lt;=2,C27&lt;=1)),"Complejidad Baja"," ")))</f>
        <v xml:space="preserve"> </v>
      </c>
      <c r="E26" s="10"/>
      <c r="F26" s="14"/>
      <c r="G26" s="14"/>
      <c r="H26" s="14"/>
    </row>
    <row r="27" spans="1:17" x14ac:dyDescent="0.35">
      <c r="A27" s="15"/>
      <c r="B27" s="35" t="s">
        <v>6</v>
      </c>
      <c r="C27" s="11">
        <f>+COUNTIF(E$17:E$23,"Media")</f>
        <v>0</v>
      </c>
      <c r="D27" s="34" t="str">
        <f>IF(L27&lt;7," ", IF(OR(AND(C$26&lt;=4,C$28&lt;=2,C27&lt;=2),AND(C$26&lt;=4,C$28&lt;=2,C27&gt;=3)),"Complejidad Media"," "))</f>
        <v xml:space="preserve"> </v>
      </c>
      <c r="E27" s="10"/>
      <c r="F27" s="14"/>
      <c r="G27" s="14"/>
      <c r="H27" s="14"/>
      <c r="L27" s="6">
        <f>SUM(C26:C28)</f>
        <v>0</v>
      </c>
    </row>
    <row r="28" spans="1:17" x14ac:dyDescent="0.35">
      <c r="A28" s="15"/>
      <c r="B28" s="36" t="s">
        <v>15</v>
      </c>
      <c r="C28" s="11">
        <f>+COUNTIF(E$17:E$23,"Alta")</f>
        <v>0</v>
      </c>
      <c r="D28" s="34" t="str">
        <f>+IF(L27&lt;7," ", IF(C28&gt;=3,"Complejidad Alta"," "))</f>
        <v xml:space="preserve"> </v>
      </c>
      <c r="E28" s="10"/>
      <c r="F28" s="14"/>
      <c r="G28" s="14"/>
      <c r="H28" s="14"/>
    </row>
    <row r="29" spans="1:17" x14ac:dyDescent="0.35">
      <c r="A29" s="15"/>
      <c r="B29" s="10"/>
      <c r="D29" s="27"/>
      <c r="E29" s="10"/>
      <c r="F29" s="14"/>
      <c r="G29" s="14"/>
      <c r="H29" s="14"/>
    </row>
    <row r="30" spans="1:17" ht="36.65" customHeight="1" x14ac:dyDescent="0.35">
      <c r="A30" s="15"/>
      <c r="B30" s="10"/>
      <c r="D30" s="27"/>
      <c r="E30" s="10"/>
      <c r="F30" s="14"/>
      <c r="G30" s="14"/>
      <c r="H30" s="14"/>
    </row>
    <row r="31" spans="1:17" ht="24" customHeight="1" x14ac:dyDescent="0.35">
      <c r="A31" s="84" t="s">
        <v>121</v>
      </c>
      <c r="B31" s="85"/>
      <c r="C31" s="85"/>
      <c r="D31" s="85"/>
      <c r="E31" s="85"/>
      <c r="F31" s="85"/>
      <c r="G31" s="85"/>
      <c r="H31" s="85"/>
      <c r="I31" s="86"/>
    </row>
    <row r="32" spans="1:17" x14ac:dyDescent="0.35">
      <c r="A32" s="12"/>
    </row>
    <row r="33" spans="1:11" x14ac:dyDescent="0.35">
      <c r="A33" s="82" t="s">
        <v>122</v>
      </c>
      <c r="B33" s="13" t="s">
        <v>7</v>
      </c>
      <c r="C33" s="13" t="s">
        <v>6</v>
      </c>
      <c r="D33" s="13" t="s">
        <v>15</v>
      </c>
      <c r="E33" s="13" t="s">
        <v>91</v>
      </c>
    </row>
    <row r="34" spans="1:11" x14ac:dyDescent="0.35">
      <c r="A34" s="82"/>
      <c r="B34" s="13" t="s">
        <v>88</v>
      </c>
      <c r="C34" s="13" t="s">
        <v>84</v>
      </c>
      <c r="D34" s="13">
        <v>0</v>
      </c>
      <c r="E34" s="13" t="s">
        <v>7</v>
      </c>
    </row>
    <row r="35" spans="1:11" x14ac:dyDescent="0.35">
      <c r="A35" s="82"/>
      <c r="B35" s="13" t="s">
        <v>86</v>
      </c>
      <c r="C35" s="13" t="s">
        <v>84</v>
      </c>
      <c r="D35" s="13">
        <f>1</f>
        <v>1</v>
      </c>
      <c r="E35" s="13" t="s">
        <v>6</v>
      </c>
    </row>
    <row r="36" spans="1:11" x14ac:dyDescent="0.35">
      <c r="A36" s="82"/>
      <c r="B36" s="13" t="s">
        <v>93</v>
      </c>
      <c r="C36" s="13" t="s">
        <v>88</v>
      </c>
      <c r="D36" s="13" t="s">
        <v>85</v>
      </c>
      <c r="E36" s="13" t="s">
        <v>6</v>
      </c>
    </row>
    <row r="37" spans="1:11" x14ac:dyDescent="0.35">
      <c r="A37" s="82"/>
      <c r="B37" s="13" t="s">
        <v>99</v>
      </c>
      <c r="C37" s="13" t="s">
        <v>99</v>
      </c>
      <c r="D37" s="13" t="s">
        <v>87</v>
      </c>
      <c r="E37" s="13" t="s">
        <v>15</v>
      </c>
    </row>
    <row r="40" spans="1:11" ht="33.65" customHeight="1" x14ac:dyDescent="0.35">
      <c r="A40" s="24"/>
      <c r="B40" s="24"/>
      <c r="C40" s="24"/>
      <c r="D40" s="24"/>
      <c r="E40" s="24"/>
      <c r="F40" s="87" t="s">
        <v>41</v>
      </c>
      <c r="G40" s="87"/>
      <c r="H40" s="87"/>
    </row>
    <row r="41" spans="1:11" ht="64.900000000000006" customHeight="1" x14ac:dyDescent="0.35">
      <c r="A41" s="26" t="s">
        <v>29</v>
      </c>
      <c r="B41" s="17" t="s">
        <v>7</v>
      </c>
      <c r="C41" s="18" t="s">
        <v>6</v>
      </c>
      <c r="D41" s="19" t="s">
        <v>15</v>
      </c>
      <c r="E41" s="16" t="s">
        <v>28</v>
      </c>
      <c r="F41" s="25" t="s">
        <v>42</v>
      </c>
      <c r="G41" s="25" t="s">
        <v>30</v>
      </c>
      <c r="H41" s="25" t="s">
        <v>31</v>
      </c>
    </row>
    <row r="42" spans="1:11" ht="34.5" x14ac:dyDescent="0.35">
      <c r="A42" s="20" t="s">
        <v>54</v>
      </c>
      <c r="B42" s="23" t="s">
        <v>55</v>
      </c>
      <c r="C42" s="23" t="s">
        <v>56</v>
      </c>
      <c r="D42" s="23" t="s">
        <v>57</v>
      </c>
      <c r="E42" s="21"/>
      <c r="F42" s="22" t="s">
        <v>32</v>
      </c>
      <c r="G42" s="22" t="s">
        <v>32</v>
      </c>
      <c r="H42" s="22" t="s">
        <v>32</v>
      </c>
    </row>
    <row r="43" spans="1:11" x14ac:dyDescent="0.35">
      <c r="A43" s="20" t="s">
        <v>58</v>
      </c>
      <c r="B43" s="23" t="s">
        <v>59</v>
      </c>
      <c r="C43" s="23" t="s">
        <v>60</v>
      </c>
      <c r="D43" s="23" t="s">
        <v>61</v>
      </c>
      <c r="E43" s="21"/>
      <c r="F43" s="22" t="s">
        <v>32</v>
      </c>
      <c r="G43" s="22" t="s">
        <v>32</v>
      </c>
      <c r="H43" s="22" t="s">
        <v>32</v>
      </c>
    </row>
    <row r="44" spans="1:11" ht="92" x14ac:dyDescent="0.35">
      <c r="A44" s="20" t="s">
        <v>79</v>
      </c>
      <c r="B44" s="23" t="s">
        <v>80</v>
      </c>
      <c r="C44" s="29" t="s">
        <v>82</v>
      </c>
      <c r="D44" s="30" t="s">
        <v>81</v>
      </c>
      <c r="E44" s="21"/>
      <c r="F44" s="31" t="s">
        <v>32</v>
      </c>
      <c r="G44" s="22" t="s">
        <v>32</v>
      </c>
      <c r="H44" s="32" t="s">
        <v>32</v>
      </c>
    </row>
    <row r="45" spans="1:11" ht="46" x14ac:dyDescent="0.35">
      <c r="A45" s="20" t="s">
        <v>62</v>
      </c>
      <c r="B45" s="23" t="s">
        <v>63</v>
      </c>
      <c r="C45" s="23" t="s">
        <v>64</v>
      </c>
      <c r="D45" s="23" t="s">
        <v>65</v>
      </c>
      <c r="E45" s="21"/>
      <c r="F45" s="22" t="s">
        <v>32</v>
      </c>
      <c r="G45" s="22" t="s">
        <v>32</v>
      </c>
      <c r="H45" s="22" t="s">
        <v>32</v>
      </c>
      <c r="K45" s="70"/>
    </row>
    <row r="46" spans="1:11" ht="103.5" x14ac:dyDescent="0.35">
      <c r="A46" s="20" t="s">
        <v>66</v>
      </c>
      <c r="B46" s="23" t="s">
        <v>67</v>
      </c>
      <c r="C46" s="23" t="s">
        <v>68</v>
      </c>
      <c r="D46" s="23" t="s">
        <v>69</v>
      </c>
      <c r="E46" s="21"/>
      <c r="F46" s="22" t="s">
        <v>32</v>
      </c>
      <c r="G46" s="22" t="s">
        <v>32</v>
      </c>
      <c r="H46" s="22" t="s">
        <v>32</v>
      </c>
    </row>
    <row r="48" spans="1:11" x14ac:dyDescent="0.35">
      <c r="A48" s="15"/>
      <c r="B48" s="12" t="s">
        <v>92</v>
      </c>
      <c r="D48" s="12" t="s">
        <v>29</v>
      </c>
      <c r="E48" s="10"/>
      <c r="F48" s="14"/>
      <c r="G48" s="14"/>
      <c r="H48" s="14"/>
    </row>
    <row r="49" spans="1:12" x14ac:dyDescent="0.35">
      <c r="A49" s="15"/>
      <c r="B49" s="33" t="s">
        <v>7</v>
      </c>
      <c r="C49" s="11">
        <f>+COUNTIF(E$42:E$46,"Baja")</f>
        <v>0</v>
      </c>
      <c r="D49" s="34" t="str">
        <f>+IF(L50&lt;5," ",IF(AND(C$49&gt;=3,C$51=0),"Incertidumbre Baja"," "))</f>
        <v xml:space="preserve"> </v>
      </c>
      <c r="E49" s="10"/>
      <c r="F49" s="14"/>
      <c r="G49" s="14"/>
      <c r="H49" s="14"/>
    </row>
    <row r="50" spans="1:12" x14ac:dyDescent="0.35">
      <c r="A50" s="15"/>
      <c r="B50" s="35" t="s">
        <v>6</v>
      </c>
      <c r="C50" s="11">
        <f>+COUNTIF(E$42:E$46,"Media")</f>
        <v>0</v>
      </c>
      <c r="D50" s="34" t="str">
        <f>+IF(L50&lt;5," ", IF(OR(AND(C49&lt;=4,C50&lt;=2,C51=1),AND(C49&lt;=2,C50&gt;=3,C51&lt;=1)),"Incertidumbre Media"," "))</f>
        <v xml:space="preserve"> </v>
      </c>
      <c r="E50" s="10"/>
      <c r="F50" s="14"/>
      <c r="G50" s="14"/>
      <c r="H50" s="14"/>
      <c r="L50" s="6">
        <f>SUM(C49:C51)</f>
        <v>0</v>
      </c>
    </row>
    <row r="51" spans="1:12" x14ac:dyDescent="0.35">
      <c r="A51" s="15"/>
      <c r="B51" s="36" t="s">
        <v>15</v>
      </c>
      <c r="C51" s="11">
        <f>+COUNTIF(E$42:E$46,"Alta")</f>
        <v>0</v>
      </c>
      <c r="D51" s="34" t="str">
        <f>+IF(L50&lt;5," ",IF(C51&gt;=2,"Incertidumbre Alta"," "))</f>
        <v xml:space="preserve"> </v>
      </c>
      <c r="E51" s="10"/>
      <c r="F51" s="14"/>
      <c r="G51" s="14"/>
      <c r="H51" s="14"/>
    </row>
    <row r="52" spans="1:12" x14ac:dyDescent="0.35">
      <c r="A52" s="15"/>
      <c r="B52" s="76"/>
      <c r="D52" s="27"/>
      <c r="E52" s="10"/>
      <c r="F52" s="14"/>
      <c r="G52" s="14"/>
      <c r="H52" s="14"/>
    </row>
    <row r="53" spans="1:12" ht="31.9" customHeight="1" x14ac:dyDescent="0.35">
      <c r="A53" s="15"/>
      <c r="B53" s="10"/>
      <c r="D53" s="27"/>
      <c r="E53" s="10"/>
      <c r="F53" s="14"/>
      <c r="G53" s="14"/>
      <c r="H53" s="14"/>
    </row>
    <row r="54" spans="1:12" ht="24" customHeight="1" x14ac:dyDescent="0.35">
      <c r="A54" s="97" t="s">
        <v>123</v>
      </c>
      <c r="B54" s="98"/>
      <c r="C54" s="98"/>
      <c r="D54" s="98"/>
      <c r="E54" s="98"/>
      <c r="F54" s="98"/>
      <c r="G54" s="98"/>
      <c r="H54" s="98"/>
      <c r="I54" s="98"/>
    </row>
    <row r="55" spans="1:12" x14ac:dyDescent="0.35">
      <c r="A55" s="12"/>
    </row>
    <row r="56" spans="1:12" x14ac:dyDescent="0.35">
      <c r="A56" s="82" t="s">
        <v>124</v>
      </c>
      <c r="B56" s="13" t="s">
        <v>7</v>
      </c>
      <c r="C56" s="13" t="s">
        <v>6</v>
      </c>
      <c r="D56" s="13" t="s">
        <v>15</v>
      </c>
      <c r="E56" s="13" t="s">
        <v>91</v>
      </c>
    </row>
    <row r="57" spans="1:12" x14ac:dyDescent="0.35">
      <c r="A57" s="82"/>
      <c r="B57" s="13">
        <v>2</v>
      </c>
      <c r="C57" s="13">
        <v>0</v>
      </c>
      <c r="D57" s="13">
        <v>0</v>
      </c>
      <c r="E57" s="13" t="s">
        <v>7</v>
      </c>
    </row>
    <row r="58" spans="1:12" x14ac:dyDescent="0.35">
      <c r="A58" s="82"/>
      <c r="B58" s="13">
        <v>1</v>
      </c>
      <c r="C58" s="13">
        <v>1</v>
      </c>
      <c r="D58" s="13">
        <v>0</v>
      </c>
      <c r="E58" s="13" t="s">
        <v>6</v>
      </c>
    </row>
    <row r="59" spans="1:12" x14ac:dyDescent="0.35">
      <c r="A59" s="82"/>
      <c r="B59" s="13">
        <v>0</v>
      </c>
      <c r="C59" s="13">
        <v>2</v>
      </c>
      <c r="D59" s="13">
        <v>0</v>
      </c>
      <c r="E59" s="13" t="s">
        <v>6</v>
      </c>
    </row>
    <row r="60" spans="1:12" x14ac:dyDescent="0.35">
      <c r="A60" s="82"/>
      <c r="B60" s="13" t="s">
        <v>99</v>
      </c>
      <c r="C60" s="13" t="s">
        <v>99</v>
      </c>
      <c r="D60" s="13" t="s">
        <v>101</v>
      </c>
      <c r="E60" s="13" t="s">
        <v>15</v>
      </c>
    </row>
    <row r="61" spans="1:12" x14ac:dyDescent="0.35">
      <c r="B61" s="13"/>
      <c r="C61" s="13"/>
      <c r="D61" s="13"/>
      <c r="E61" s="13"/>
    </row>
    <row r="63" spans="1:12" ht="33.65" customHeight="1" x14ac:dyDescent="0.35">
      <c r="A63" s="24"/>
      <c r="B63" s="24"/>
      <c r="C63" s="24"/>
      <c r="D63" s="24"/>
      <c r="E63" s="24"/>
      <c r="F63" s="87" t="s">
        <v>41</v>
      </c>
      <c r="G63" s="87"/>
      <c r="H63" s="87"/>
    </row>
    <row r="64" spans="1:12" ht="65.5" customHeight="1" x14ac:dyDescent="0.35">
      <c r="A64" s="28" t="s">
        <v>70</v>
      </c>
      <c r="B64" s="17" t="s">
        <v>7</v>
      </c>
      <c r="C64" s="18" t="s">
        <v>6</v>
      </c>
      <c r="D64" s="19" t="s">
        <v>15</v>
      </c>
      <c r="E64" s="16" t="s">
        <v>28</v>
      </c>
      <c r="F64" s="25" t="s">
        <v>42</v>
      </c>
      <c r="G64" s="25" t="s">
        <v>30</v>
      </c>
      <c r="H64" s="25" t="s">
        <v>31</v>
      </c>
    </row>
    <row r="65" spans="1:12" ht="80.5" x14ac:dyDescent="0.35">
      <c r="A65" s="20" t="s">
        <v>71</v>
      </c>
      <c r="B65" s="23" t="s">
        <v>72</v>
      </c>
      <c r="C65" s="23" t="s">
        <v>73</v>
      </c>
      <c r="D65" s="23" t="s">
        <v>74</v>
      </c>
      <c r="E65" s="21"/>
      <c r="F65" s="22" t="s">
        <v>32</v>
      </c>
      <c r="G65" s="22" t="s">
        <v>32</v>
      </c>
      <c r="H65" s="22" t="s">
        <v>32</v>
      </c>
      <c r="K65" s="71"/>
    </row>
    <row r="66" spans="1:12" ht="57.5" x14ac:dyDescent="0.35">
      <c r="A66" s="20" t="s">
        <v>75</v>
      </c>
      <c r="B66" s="23" t="s">
        <v>76</v>
      </c>
      <c r="C66" s="23" t="s">
        <v>77</v>
      </c>
      <c r="D66" s="23" t="s">
        <v>128</v>
      </c>
      <c r="E66" s="21"/>
      <c r="F66" s="22" t="s">
        <v>32</v>
      </c>
      <c r="G66" s="22" t="s">
        <v>32</v>
      </c>
      <c r="H66" s="22" t="s">
        <v>32</v>
      </c>
      <c r="K66" s="72"/>
    </row>
    <row r="68" spans="1:12" x14ac:dyDescent="0.35">
      <c r="A68" s="15"/>
      <c r="B68" s="12" t="s">
        <v>92</v>
      </c>
      <c r="D68" s="12" t="s">
        <v>70</v>
      </c>
      <c r="E68" s="10"/>
      <c r="F68" s="14"/>
      <c r="G68" s="14"/>
      <c r="H68" s="14"/>
    </row>
    <row r="69" spans="1:12" x14ac:dyDescent="0.35">
      <c r="A69" s="15"/>
      <c r="B69" s="33" t="s">
        <v>7</v>
      </c>
      <c r="C69" s="11">
        <f>+COUNTIF(E$65:E$66,"Baja")</f>
        <v>0</v>
      </c>
      <c r="D69" s="34" t="str">
        <f>+IF(L70&lt;2," ", IF(C$69=2,"Criticidad Baja"," "))</f>
        <v xml:space="preserve"> </v>
      </c>
      <c r="E69" s="10"/>
      <c r="F69" s="14"/>
      <c r="G69" s="14"/>
      <c r="H69" s="14"/>
    </row>
    <row r="70" spans="1:12" x14ac:dyDescent="0.35">
      <c r="A70" s="15"/>
      <c r="B70" s="35" t="s">
        <v>6</v>
      </c>
      <c r="C70" s="11">
        <f>+COUNTIF(E$65:E$66,"Media")</f>
        <v>0</v>
      </c>
      <c r="D70" s="34" t="str">
        <f>+IF(L70&lt;2, " ",IF(AND(C69=0,C70=0,C71=0)," ",IF(AND(C$69&lt;2,C$71=0),"Criticidad Media"," ")))</f>
        <v xml:space="preserve"> </v>
      </c>
      <c r="E70" s="10"/>
      <c r="F70" s="14"/>
      <c r="G70" s="14"/>
      <c r="H70" s="14"/>
      <c r="L70" s="6">
        <f>SUM(C69:C71)</f>
        <v>0</v>
      </c>
    </row>
    <row r="71" spans="1:12" x14ac:dyDescent="0.35">
      <c r="A71" s="15"/>
      <c r="B71" s="36" t="s">
        <v>15</v>
      </c>
      <c r="C71" s="11">
        <f>+COUNTIF(E$65:E$66,"Alta")</f>
        <v>0</v>
      </c>
      <c r="D71" s="34" t="str">
        <f>+IF(L70&lt;2, " ",IF(C71&gt;=1,"Criticidad Alta"," "))</f>
        <v xml:space="preserve"> </v>
      </c>
      <c r="E71" s="10"/>
      <c r="F71" s="14"/>
      <c r="G71" s="14"/>
      <c r="H71" s="14"/>
    </row>
  </sheetData>
  <mergeCells count="13">
    <mergeCell ref="F63:H63"/>
    <mergeCell ref="B1:D1"/>
    <mergeCell ref="B2:D2"/>
    <mergeCell ref="B3:D3"/>
    <mergeCell ref="A56:A60"/>
    <mergeCell ref="A54:I54"/>
    <mergeCell ref="F40:H40"/>
    <mergeCell ref="Q7:Q14"/>
    <mergeCell ref="A8:A13"/>
    <mergeCell ref="A6:H6"/>
    <mergeCell ref="A31:I31"/>
    <mergeCell ref="A33:A37"/>
    <mergeCell ref="F15:H15"/>
  </mergeCells>
  <conditionalFormatting sqref="D26">
    <cfRule type="cellIs" dxfId="100" priority="11" stopIfTrue="1" operator="equal">
      <formula>"Complejidad Baja"</formula>
    </cfRule>
  </conditionalFormatting>
  <conditionalFormatting sqref="D27">
    <cfRule type="cellIs" dxfId="99" priority="10" stopIfTrue="1" operator="equal">
      <formula>"Complejidad Media"</formula>
    </cfRule>
  </conditionalFormatting>
  <conditionalFormatting sqref="D28:D30">
    <cfRule type="cellIs" dxfId="98" priority="9" stopIfTrue="1" operator="equal">
      <formula>"Complejidad Alta"</formula>
    </cfRule>
  </conditionalFormatting>
  <conditionalFormatting sqref="D49">
    <cfRule type="cellIs" dxfId="97" priority="4" stopIfTrue="1" operator="equal">
      <formula>"Incertidumbre Baja"</formula>
    </cfRule>
  </conditionalFormatting>
  <conditionalFormatting sqref="D50">
    <cfRule type="cellIs" dxfId="96" priority="7" stopIfTrue="1" operator="equal">
      <formula>"Incertidumbre Media"</formula>
    </cfRule>
  </conditionalFormatting>
  <conditionalFormatting sqref="D51:D53">
    <cfRule type="cellIs" dxfId="95" priority="6" stopIfTrue="1" operator="equal">
      <formula>"Incertidumbre Alta"</formula>
    </cfRule>
  </conditionalFormatting>
  <conditionalFormatting sqref="D69">
    <cfRule type="cellIs" dxfId="94" priority="3" stopIfTrue="1" operator="equal">
      <formula>"Criticidad Baja"</formula>
    </cfRule>
  </conditionalFormatting>
  <conditionalFormatting sqref="D70">
    <cfRule type="cellIs" dxfId="93" priority="2" stopIfTrue="1" operator="equal">
      <formula>"Criticidad Media"</formula>
    </cfRule>
  </conditionalFormatting>
  <conditionalFormatting sqref="D71">
    <cfRule type="cellIs" dxfId="92" priority="1" stopIfTrue="1" operator="equal">
      <formula>"Criticidad Alta"</formula>
    </cfRule>
  </conditionalFormatting>
  <dataValidations count="1">
    <dataValidation type="list" allowBlank="1" showInputMessage="1" showErrorMessage="1" sqref="E42:E46 E17:E30 E48:E53 E68:E71 E65:E66" xr:uid="{00000000-0002-0000-0000-000000000000}">
      <formula1>$B$16:$D$16</formula1>
    </dataValidation>
  </dataValidations>
  <pageMargins left="0.46" right="0.4" top="0.74803149606299213" bottom="0.74803149606299213" header="0.31496062992125984" footer="0.31496062992125984"/>
  <pageSetup paperSize="9" orientation="landscape" r:id="rId1"/>
  <rowBreaks count="2" manualBreakCount="2">
    <brk id="29" max="7" man="1"/>
    <brk id="52" max="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lanquear_campos">
                <anchor moveWithCells="1" sizeWithCells="1">
                  <from>
                    <xdr:col>9</xdr:col>
                    <xdr:colOff>95250</xdr:colOff>
                    <xdr:row>7</xdr:row>
                    <xdr:rowOff>82550</xdr:rowOff>
                  </from>
                  <to>
                    <xdr:col>10</xdr:col>
                    <xdr:colOff>444500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Ver_resultado">
                <anchor moveWithCells="1" sizeWithCells="1">
                  <from>
                    <xdr:col>3</xdr:col>
                    <xdr:colOff>209550</xdr:colOff>
                    <xdr:row>73</xdr:row>
                    <xdr:rowOff>44450</xdr:rowOff>
                  </from>
                  <to>
                    <xdr:col>4</xdr:col>
                    <xdr:colOff>215900</xdr:colOff>
                    <xdr:row>76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mplejidad_baja">
                <anchor moveWithCells="1" sizeWithCells="1">
                  <from>
                    <xdr:col>13</xdr:col>
                    <xdr:colOff>95250</xdr:colOff>
                    <xdr:row>7</xdr:row>
                    <xdr:rowOff>25400</xdr:rowOff>
                  </from>
                  <to>
                    <xdr:col>13</xdr:col>
                    <xdr:colOff>476250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mplejidad_media">
                <anchor moveWithCells="1" sizeWithCells="1">
                  <from>
                    <xdr:col>13</xdr:col>
                    <xdr:colOff>101600</xdr:colOff>
                    <xdr:row>9</xdr:row>
                    <xdr:rowOff>25400</xdr:rowOff>
                  </from>
                  <to>
                    <xdr:col>13</xdr:col>
                    <xdr:colOff>482600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mplejidad_alta">
                <anchor moveWithCells="1" sizeWithCells="1">
                  <from>
                    <xdr:col>13</xdr:col>
                    <xdr:colOff>101600</xdr:colOff>
                    <xdr:row>11</xdr:row>
                    <xdr:rowOff>31750</xdr:rowOff>
                  </from>
                  <to>
                    <xdr:col>13</xdr:col>
                    <xdr:colOff>482600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mplejidad_blanquear">
                <anchor moveWithCells="1" sizeWithCells="1">
                  <from>
                    <xdr:col>13</xdr:col>
                    <xdr:colOff>69850</xdr:colOff>
                    <xdr:row>13</xdr:row>
                    <xdr:rowOff>50800</xdr:rowOff>
                  </from>
                  <to>
                    <xdr:col>13</xdr:col>
                    <xdr:colOff>508000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Incertidumbre_media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431800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Incertidumbre_alta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431800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Incertidumbre_baja">
                <anchor moveWithCells="1" sizeWithCells="1">
                  <from>
                    <xdr:col>14</xdr:col>
                    <xdr:colOff>50800</xdr:colOff>
                    <xdr:row>7</xdr:row>
                    <xdr:rowOff>31750</xdr:rowOff>
                  </from>
                  <to>
                    <xdr:col>14</xdr:col>
                    <xdr:colOff>431800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Incertidumbre_blanqueo">
                <anchor moveWithCells="1" sizeWithCells="1">
                  <from>
                    <xdr:col>14</xdr:col>
                    <xdr:colOff>0</xdr:colOff>
                    <xdr:row>13</xdr:row>
                    <xdr:rowOff>50800</xdr:rowOff>
                  </from>
                  <to>
                    <xdr:col>14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Criticidad_baja">
                <anchor moveWithCells="1" sizeWithCells="1">
                  <from>
                    <xdr:col>15</xdr:col>
                    <xdr:colOff>88900</xdr:colOff>
                    <xdr:row>7</xdr:row>
                    <xdr:rowOff>31750</xdr:rowOff>
                  </from>
                  <to>
                    <xdr:col>15</xdr:col>
                    <xdr:colOff>469900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Criticidad_media">
                <anchor moveWithCells="1" sizeWithCells="1">
                  <from>
                    <xdr:col>15</xdr:col>
                    <xdr:colOff>95250</xdr:colOff>
                    <xdr:row>9</xdr:row>
                    <xdr:rowOff>25400</xdr:rowOff>
                  </from>
                  <to>
                    <xdr:col>15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Criticidad_alta">
                <anchor moveWithCells="1" sizeWithCells="1">
                  <from>
                    <xdr:col>15</xdr:col>
                    <xdr:colOff>82550</xdr:colOff>
                    <xdr:row>11</xdr:row>
                    <xdr:rowOff>31750</xdr:rowOff>
                  </from>
                  <to>
                    <xdr:col>15</xdr:col>
                    <xdr:colOff>463550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Criticidad_blanqueo">
                <anchor moveWithCells="1" sizeWithCells="1">
                  <from>
                    <xdr:col>15</xdr:col>
                    <xdr:colOff>69850</xdr:colOff>
                    <xdr:row>13</xdr:row>
                    <xdr:rowOff>50800</xdr:rowOff>
                  </from>
                  <to>
                    <xdr:col>15</xdr:col>
                    <xdr:colOff>508000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9"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T30"/>
  <sheetViews>
    <sheetView zoomScale="80" zoomScaleNormal="80" workbookViewId="0">
      <pane xSplit="1" topLeftCell="B1" activePane="topRight" state="frozen"/>
      <selection pane="topRight" activeCell="F20" sqref="F20"/>
    </sheetView>
  </sheetViews>
  <sheetFormatPr baseColWidth="10" defaultColWidth="9.81640625" defaultRowHeight="12" x14ac:dyDescent="0.3"/>
  <cols>
    <col min="1" max="1" width="12" style="51" customWidth="1"/>
    <col min="2" max="19" width="9.81640625" style="48" customWidth="1"/>
    <col min="20" max="20" width="9.81640625" style="48" hidden="1" customWidth="1"/>
    <col min="21" max="16384" width="9.81640625" style="48"/>
  </cols>
  <sheetData>
    <row r="1" spans="1:20" ht="12.5" thickBot="1" x14ac:dyDescent="0.35"/>
    <row r="2" spans="1:20" ht="23.5" thickBot="1" x14ac:dyDescent="0.35">
      <c r="A2" s="99" t="s">
        <v>13</v>
      </c>
      <c r="B2" s="49" t="s">
        <v>113</v>
      </c>
      <c r="C2" s="49" t="s">
        <v>4</v>
      </c>
      <c r="D2" s="49" t="s">
        <v>113</v>
      </c>
      <c r="E2" s="49" t="s">
        <v>4</v>
      </c>
      <c r="F2" s="49" t="s">
        <v>113</v>
      </c>
      <c r="G2" s="49" t="s">
        <v>4</v>
      </c>
      <c r="H2" s="49" t="s">
        <v>113</v>
      </c>
      <c r="I2" s="49" t="s">
        <v>4</v>
      </c>
      <c r="J2" s="49" t="s">
        <v>113</v>
      </c>
      <c r="K2" s="49" t="s">
        <v>4</v>
      </c>
      <c r="L2" s="49" t="s">
        <v>113</v>
      </c>
      <c r="M2" s="49" t="s">
        <v>4</v>
      </c>
      <c r="N2" s="49" t="s">
        <v>113</v>
      </c>
      <c r="O2" s="49" t="s">
        <v>4</v>
      </c>
      <c r="P2" s="49" t="s">
        <v>113</v>
      </c>
      <c r="Q2" s="49" t="s">
        <v>4</v>
      </c>
      <c r="R2" s="49" t="s">
        <v>113</v>
      </c>
      <c r="S2" s="49" t="s">
        <v>4</v>
      </c>
    </row>
    <row r="3" spans="1:20" ht="12.5" thickBot="1" x14ac:dyDescent="0.35">
      <c r="A3" s="100"/>
      <c r="B3" s="50" t="s">
        <v>7</v>
      </c>
      <c r="C3" s="50" t="s">
        <v>7</v>
      </c>
      <c r="D3" s="50" t="s">
        <v>7</v>
      </c>
      <c r="E3" s="50" t="s">
        <v>6</v>
      </c>
      <c r="F3" s="50" t="s">
        <v>6</v>
      </c>
      <c r="G3" s="50" t="s">
        <v>7</v>
      </c>
      <c r="H3" s="50" t="s">
        <v>7</v>
      </c>
      <c r="I3" s="50" t="s">
        <v>15</v>
      </c>
      <c r="J3" s="50" t="s">
        <v>15</v>
      </c>
      <c r="K3" s="50" t="s">
        <v>7</v>
      </c>
      <c r="L3" s="50" t="s">
        <v>6</v>
      </c>
      <c r="M3" s="50" t="s">
        <v>6</v>
      </c>
      <c r="N3" s="50" t="s">
        <v>6</v>
      </c>
      <c r="O3" s="50" t="s">
        <v>15</v>
      </c>
      <c r="P3" s="50" t="s">
        <v>15</v>
      </c>
      <c r="Q3" s="50" t="s">
        <v>6</v>
      </c>
      <c r="R3" s="50" t="s">
        <v>15</v>
      </c>
      <c r="S3" s="50" t="s">
        <v>15</v>
      </c>
    </row>
    <row r="4" spans="1:20" ht="12.5" thickBot="1" x14ac:dyDescent="0.35">
      <c r="A4" s="52" t="s">
        <v>15</v>
      </c>
      <c r="B4" s="101" t="s">
        <v>125</v>
      </c>
      <c r="C4" s="102"/>
      <c r="D4" s="103" t="s">
        <v>126</v>
      </c>
      <c r="E4" s="104"/>
      <c r="F4" s="107" t="s">
        <v>126</v>
      </c>
      <c r="G4" s="104"/>
      <c r="H4" s="105" t="s">
        <v>127</v>
      </c>
      <c r="I4" s="106"/>
      <c r="J4" s="105" t="s">
        <v>127</v>
      </c>
      <c r="K4" s="106"/>
      <c r="L4" s="105" t="s">
        <v>127</v>
      </c>
      <c r="M4" s="106"/>
      <c r="N4" s="105" t="s">
        <v>127</v>
      </c>
      <c r="O4" s="106"/>
      <c r="P4" s="105" t="s">
        <v>127</v>
      </c>
      <c r="Q4" s="106"/>
      <c r="R4" s="108" t="s">
        <v>11</v>
      </c>
      <c r="S4" s="109"/>
    </row>
    <row r="5" spans="1:20" ht="12.5" thickBot="1" x14ac:dyDescent="0.35">
      <c r="A5" s="52" t="s">
        <v>6</v>
      </c>
      <c r="B5" s="101" t="s">
        <v>125</v>
      </c>
      <c r="C5" s="102"/>
      <c r="D5" s="103" t="s">
        <v>126</v>
      </c>
      <c r="E5" s="104"/>
      <c r="F5" s="103" t="s">
        <v>126</v>
      </c>
      <c r="G5" s="104"/>
      <c r="H5" s="107" t="s">
        <v>126</v>
      </c>
      <c r="I5" s="104"/>
      <c r="J5" s="107" t="s">
        <v>126</v>
      </c>
      <c r="K5" s="104"/>
      <c r="L5" s="107" t="s">
        <v>126</v>
      </c>
      <c r="M5" s="104"/>
      <c r="N5" s="105" t="s">
        <v>127</v>
      </c>
      <c r="O5" s="106"/>
      <c r="P5" s="105" t="s">
        <v>127</v>
      </c>
      <c r="Q5" s="106"/>
      <c r="R5" s="105" t="s">
        <v>127</v>
      </c>
      <c r="S5" s="106"/>
    </row>
    <row r="6" spans="1:20" ht="12.5" thickBot="1" x14ac:dyDescent="0.35">
      <c r="A6" s="52" t="s">
        <v>7</v>
      </c>
      <c r="B6" s="101" t="s">
        <v>125</v>
      </c>
      <c r="C6" s="102"/>
      <c r="D6" s="101" t="s">
        <v>125</v>
      </c>
      <c r="E6" s="102"/>
      <c r="F6" s="101" t="s">
        <v>125</v>
      </c>
      <c r="G6" s="102"/>
      <c r="H6" s="101" t="s">
        <v>125</v>
      </c>
      <c r="I6" s="102"/>
      <c r="J6" s="101" t="s">
        <v>125</v>
      </c>
      <c r="K6" s="102"/>
      <c r="L6" s="107" t="s">
        <v>126</v>
      </c>
      <c r="M6" s="104"/>
      <c r="N6" s="107" t="s">
        <v>126</v>
      </c>
      <c r="O6" s="104"/>
      <c r="P6" s="107" t="s">
        <v>126</v>
      </c>
      <c r="Q6" s="104"/>
      <c r="R6" s="105" t="s">
        <v>127</v>
      </c>
      <c r="S6" s="106"/>
    </row>
    <row r="8" spans="1:20" x14ac:dyDescent="0.3">
      <c r="T8" s="48">
        <f>SUM(T9:T30)</f>
        <v>0</v>
      </c>
    </row>
    <row r="9" spans="1:20" hidden="1" x14ac:dyDescent="0.3">
      <c r="B9" s="110" t="str">
        <f>IF(Hoja1!D26&lt;&gt; " ",Hoja1!D26,IF(Hoja1!D27&lt;&gt;" ",Hoja1!D27,Hoja1!D28))</f>
        <v xml:space="preserve"> </v>
      </c>
      <c r="C9" s="110"/>
      <c r="T9" s="48">
        <f>IF(AND($B$9="Complejidad Baja",$B$10="Incertidumbre Baja",$B$11="Criticidad Baja"),1,0)</f>
        <v>0</v>
      </c>
    </row>
    <row r="10" spans="1:20" hidden="1" x14ac:dyDescent="0.3">
      <c r="B10" s="110" t="str">
        <f>IF(Hoja1!D49&lt;&gt; " ",Hoja1!D49,IF(Hoja1!D50&lt;&gt; " ",Hoja1!D50,Hoja1!D51))</f>
        <v xml:space="preserve"> </v>
      </c>
      <c r="C10" s="110"/>
      <c r="T10" s="48">
        <f>IF(AND($B$9="Complejidad Media",$B$10="Incertidumbre Baja",$B$11="Criticidad Baja"),1,0)</f>
        <v>0</v>
      </c>
    </row>
    <row r="11" spans="1:20" hidden="1" x14ac:dyDescent="0.3">
      <c r="B11" s="110" t="str">
        <f>IF(Hoja1!D69&lt;&gt; " ",Hoja1!D69,IF(Hoja1!D70&lt;&gt; " ",Hoja1!D70,Hoja1!D71))</f>
        <v xml:space="preserve"> </v>
      </c>
      <c r="C11" s="110"/>
      <c r="T11" s="48">
        <f>IF(AND($B$9="Complejidad Alta",$B$10="Incertidumbre Baja",$B$11="Criticidad Baja"),1,0)</f>
        <v>0</v>
      </c>
    </row>
    <row r="12" spans="1:20" x14ac:dyDescent="0.3">
      <c r="T12" s="48">
        <f>IF(AND($B$9="Complejidad Baja",$B$10="Incertidumbre Media",$B$11="Criticidad Baja"),1,0)</f>
        <v>0</v>
      </c>
    </row>
    <row r="13" spans="1:20" x14ac:dyDescent="0.3">
      <c r="T13" s="48">
        <f>IF(AND($B$9="Complejidad Media",$B$10="Incertidumbre Media",$B$11="Criticidad Baja"),1,0)</f>
        <v>0</v>
      </c>
    </row>
    <row r="14" spans="1:20" x14ac:dyDescent="0.3">
      <c r="T14" s="48">
        <f>IF(AND($B$9="Complejidad Alta",$B$10="Incertidumbre Media",$B$11="Criticidad Baja"),1,0)</f>
        <v>0</v>
      </c>
    </row>
    <row r="15" spans="1:20" x14ac:dyDescent="0.3">
      <c r="T15" s="48">
        <f>IF(AND($B$9="Complejidad Baja",$B$10="Incertidumbre Baja",$B$11="Criticidad Media"),1,0)</f>
        <v>0</v>
      </c>
    </row>
    <row r="16" spans="1:20" x14ac:dyDescent="0.3">
      <c r="T16" s="48">
        <f>IF(AND($B$9="Complejidad Media",$B$10="Incertidumbre Baja",$B$11="Criticidad Media"),1,0)</f>
        <v>0</v>
      </c>
    </row>
    <row r="17" spans="20:20" x14ac:dyDescent="0.3">
      <c r="T17" s="48">
        <f>IF(AND($B$9="Complejidad Media",$B$10="Incertidumbre Baja",$B$11="Criticidad Alta"),1,0)</f>
        <v>0</v>
      </c>
    </row>
    <row r="18" spans="20:20" x14ac:dyDescent="0.3">
      <c r="T18" s="48">
        <f>IF(AND($B$9="Complejidad Alta",$B$10="Incertidumbre Baja",$B$11="Criticidad Alta"),1,0)</f>
        <v>0</v>
      </c>
    </row>
    <row r="19" spans="20:20" x14ac:dyDescent="0.3">
      <c r="T19" s="48">
        <f>IF(AND($B$9="Complejidad Baja",$B$10="Incertidumbre Media",$B$11="Criticidad Media"),1,0)</f>
        <v>0</v>
      </c>
    </row>
    <row r="20" spans="20:20" x14ac:dyDescent="0.3">
      <c r="T20" s="48">
        <f>IF(AND($B$9="Complejidad Media",$B$10="Incertidumbre Media",$B$11="Criticidad Media"),1,0)</f>
        <v>0</v>
      </c>
    </row>
    <row r="21" spans="20:20" x14ac:dyDescent="0.3">
      <c r="T21" s="48">
        <f>IF(AND($B$9="Complejidad Alta",$B$10="Incertidumbre Media",$B$11="Criticidad Media"),1,0)</f>
        <v>0</v>
      </c>
    </row>
    <row r="22" spans="20:20" x14ac:dyDescent="0.3">
      <c r="T22" s="48">
        <f>IF(AND($B$9="Complejidad Baja",$B$10="Incertidumbre Alta",$B$11="Criticidad Media"),1,0)</f>
        <v>0</v>
      </c>
    </row>
    <row r="23" spans="20:20" x14ac:dyDescent="0.3">
      <c r="T23" s="48">
        <f>IF(AND($B$9="Complejidad Media",$B$10="Incertidumbre Alta",$B$11="Criticidad Media"),1,0)</f>
        <v>0</v>
      </c>
    </row>
    <row r="24" spans="20:20" x14ac:dyDescent="0.3">
      <c r="T24" s="48">
        <f>IF(AND($B$9="Complejidad Alta",$B$10="Incertidumbre Alta",$B$11="Criticidad Media"),1,0)</f>
        <v>0</v>
      </c>
    </row>
    <row r="25" spans="20:20" x14ac:dyDescent="0.3">
      <c r="T25" s="48">
        <f>IF(AND($B$9="Complejidad Baja",$B$10="Incertidumbre Media",$B$11="Criticidad Alta"),1,0)</f>
        <v>0</v>
      </c>
    </row>
    <row r="26" spans="20:20" x14ac:dyDescent="0.3">
      <c r="T26" s="48">
        <f>IF(AND($B$9="Complejidad Media",$B$10="Incertidumbre Media",$B$11="Criticidad Alta"),1,0)</f>
        <v>0</v>
      </c>
    </row>
    <row r="27" spans="20:20" x14ac:dyDescent="0.3">
      <c r="T27" s="48">
        <f>IF(AND($B$9="Complejidad Alta",$B$10="Incertidumbre Media",$B$11="Criticidad Alta"),1,0)</f>
        <v>0</v>
      </c>
    </row>
    <row r="28" spans="20:20" x14ac:dyDescent="0.3">
      <c r="T28" s="48">
        <f>IF(AND($B$9="Complejidad Baja",$B$10="Incertidumbre Alta",$B$11="Criticidad Alta"),1,0)</f>
        <v>0</v>
      </c>
    </row>
    <row r="29" spans="20:20" x14ac:dyDescent="0.3">
      <c r="T29" s="48">
        <f>IF(AND($B$9="Complejidad Media",$B$10="Incertidumbre Alta",$B$11="Criticidad Alta"),1,0)</f>
        <v>0</v>
      </c>
    </row>
    <row r="30" spans="20:20" x14ac:dyDescent="0.3">
      <c r="T30" s="48">
        <f>IF(AND($B$9="Complejidad Alta",$B$10="Incertidumbre Alta",$B$11="Criticidad Alta"),1,0)</f>
        <v>0</v>
      </c>
    </row>
  </sheetData>
  <mergeCells count="31">
    <mergeCell ref="H6:I6"/>
    <mergeCell ref="L6:M6"/>
    <mergeCell ref="H5:I5"/>
    <mergeCell ref="L5:M5"/>
    <mergeCell ref="B11:C11"/>
    <mergeCell ref="B9:C9"/>
    <mergeCell ref="B10:C10"/>
    <mergeCell ref="F5:G5"/>
    <mergeCell ref="F6:G6"/>
    <mergeCell ref="B6:C6"/>
    <mergeCell ref="D6:E6"/>
    <mergeCell ref="B5:C5"/>
    <mergeCell ref="D5:E5"/>
    <mergeCell ref="R4:S4"/>
    <mergeCell ref="J4:K4"/>
    <mergeCell ref="P4:Q4"/>
    <mergeCell ref="N6:O6"/>
    <mergeCell ref="R6:S6"/>
    <mergeCell ref="J6:K6"/>
    <mergeCell ref="P5:Q5"/>
    <mergeCell ref="P6:Q6"/>
    <mergeCell ref="R5:S5"/>
    <mergeCell ref="J5:K5"/>
    <mergeCell ref="N4:O4"/>
    <mergeCell ref="N5:O5"/>
    <mergeCell ref="A2:A3"/>
    <mergeCell ref="B4:C4"/>
    <mergeCell ref="D4:E4"/>
    <mergeCell ref="H4:I4"/>
    <mergeCell ref="L4:M4"/>
    <mergeCell ref="F4:G4"/>
  </mergeCells>
  <conditionalFormatting sqref="B4">
    <cfRule type="expression" dxfId="31" priority="97" stopIfTrue="1">
      <formula>$T$11=1</formula>
    </cfRule>
  </conditionalFormatting>
  <conditionalFormatting sqref="B4:B5">
    <cfRule type="expression" dxfId="30" priority="98" stopIfTrue="1">
      <formula>$T$10=1</formula>
    </cfRule>
  </conditionalFormatting>
  <conditionalFormatting sqref="B6">
    <cfRule type="expression" dxfId="29" priority="92" stopIfTrue="1">
      <formula>$T$9=1</formula>
    </cfRule>
  </conditionalFormatting>
  <conditionalFormatting sqref="N4:N6 B4:B6 L4:L6 R4:R6 P4:P6 J4:J6 D4:D6 F4:F6 H4:H6">
    <cfRule type="expression" dxfId="28" priority="164" stopIfTrue="1">
      <formula>$T$8&lt;&gt;0</formula>
    </cfRule>
  </conditionalFormatting>
  <conditionalFormatting sqref="F5">
    <cfRule type="expression" dxfId="27" priority="90" stopIfTrue="1">
      <formula>$T$16=1</formula>
    </cfRule>
  </conditionalFormatting>
  <conditionalFormatting sqref="P6">
    <cfRule type="expression" dxfId="26" priority="56" stopIfTrue="1">
      <formula>$T$25=1</formula>
    </cfRule>
  </conditionalFormatting>
  <conditionalFormatting sqref="P5">
    <cfRule type="expression" dxfId="25" priority="55" stopIfTrue="1">
      <formula>$T$26=1</formula>
    </cfRule>
  </conditionalFormatting>
  <conditionalFormatting sqref="F6">
    <cfRule type="expression" dxfId="24" priority="52" stopIfTrue="1">
      <formula>$T$15=1</formula>
    </cfRule>
  </conditionalFormatting>
  <conditionalFormatting sqref="D6">
    <cfRule type="expression" dxfId="23" priority="51" stopIfTrue="1">
      <formula>$T$12=1</formula>
    </cfRule>
  </conditionalFormatting>
  <conditionalFormatting sqref="D5">
    <cfRule type="expression" dxfId="22" priority="50" stopIfTrue="1">
      <formula>$T$13=1</formula>
    </cfRule>
  </conditionalFormatting>
  <conditionalFormatting sqref="D4:D5 F5">
    <cfRule type="expression" dxfId="21" priority="49" stopIfTrue="1">
      <formula>$T$14=1</formula>
    </cfRule>
  </conditionalFormatting>
  <conditionalFormatting sqref="R5">
    <cfRule type="expression" dxfId="20" priority="48" stopIfTrue="1">
      <formula>$T$29=1</formula>
    </cfRule>
  </conditionalFormatting>
  <conditionalFormatting sqref="F4">
    <cfRule type="expression" dxfId="19" priority="178" stopIfTrue="1">
      <formula>#REF!=1</formula>
    </cfRule>
  </conditionalFormatting>
  <conditionalFormatting sqref="H6">
    <cfRule type="expression" dxfId="18" priority="179" stopIfTrue="1">
      <formula>#REF!=1</formula>
    </cfRule>
  </conditionalFormatting>
  <conditionalFormatting sqref="J6">
    <cfRule type="expression" dxfId="17" priority="180" stopIfTrue="1">
      <formula>#REF!=1</formula>
    </cfRule>
  </conditionalFormatting>
  <conditionalFormatting sqref="L6">
    <cfRule type="expression" dxfId="16" priority="181" stopIfTrue="1">
      <formula>$T$19=1</formula>
    </cfRule>
  </conditionalFormatting>
  <conditionalFormatting sqref="J4 L4 H4">
    <cfRule type="expression" dxfId="15" priority="182" stopIfTrue="1">
      <formula>$T$18=1</formula>
    </cfRule>
  </conditionalFormatting>
  <conditionalFormatting sqref="R4">
    <cfRule type="expression" dxfId="14" priority="184" stopIfTrue="1">
      <formula>$T$30=1</formula>
    </cfRule>
  </conditionalFormatting>
  <conditionalFormatting sqref="R6">
    <cfRule type="expression" dxfId="13" priority="185" stopIfTrue="1">
      <formula>$T$28=1</formula>
    </cfRule>
  </conditionalFormatting>
  <conditionalFormatting sqref="H4:H5">
    <cfRule type="expression" dxfId="12" priority="187" stopIfTrue="1">
      <formula>#REF!=1</formula>
    </cfRule>
  </conditionalFormatting>
  <conditionalFormatting sqref="J4 L4 H4">
    <cfRule type="expression" dxfId="11" priority="188" stopIfTrue="1">
      <formula>#REF!=1</formula>
    </cfRule>
  </conditionalFormatting>
  <conditionalFormatting sqref="J5">
    <cfRule type="expression" dxfId="10" priority="189" stopIfTrue="1">
      <formula>$T$17=1</formula>
    </cfRule>
  </conditionalFormatting>
  <conditionalFormatting sqref="L5">
    <cfRule type="expression" dxfId="9" priority="190" stopIfTrue="1">
      <formula>$T$20=1</formula>
    </cfRule>
  </conditionalFormatting>
  <conditionalFormatting sqref="L4">
    <cfRule type="expression" dxfId="8" priority="191" stopIfTrue="1">
      <formula>$T$21=1</formula>
    </cfRule>
  </conditionalFormatting>
  <conditionalFormatting sqref="P4:P5">
    <cfRule type="expression" dxfId="7" priority="192" stopIfTrue="1">
      <formula>$T$27=1</formula>
    </cfRule>
  </conditionalFormatting>
  <conditionalFormatting sqref="N4:N5 J4 L4 H4">
    <cfRule type="expression" dxfId="6" priority="198" stopIfTrue="1">
      <formula>$T$24=1</formula>
    </cfRule>
  </conditionalFormatting>
  <pageMargins left="0.70866141732283472" right="0.70866141732283472" top="0.74803149606299213" bottom="0.74803149606299213" header="0.31496062992125984" footer="0.31496062992125984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olver">
                <anchor moveWithCells="1" sizeWithCells="1">
                  <from>
                    <xdr:col>7</xdr:col>
                    <xdr:colOff>400050</xdr:colOff>
                    <xdr:row>12</xdr:row>
                    <xdr:rowOff>25400</xdr:rowOff>
                  </from>
                  <to>
                    <xdr:col>8</xdr:col>
                    <xdr:colOff>400050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O46"/>
  <sheetViews>
    <sheetView topLeftCell="B13" workbookViewId="0">
      <selection activeCell="N21" sqref="C17:O21"/>
    </sheetView>
  </sheetViews>
  <sheetFormatPr baseColWidth="10" defaultColWidth="11.453125" defaultRowHeight="12.5" x14ac:dyDescent="0.25"/>
  <cols>
    <col min="1" max="1" width="11.453125" style="1"/>
    <col min="2" max="2" width="9.26953125" style="1" customWidth="1"/>
    <col min="3" max="3" width="13.54296875" style="1" bestFit="1" customWidth="1"/>
    <col min="4" max="9" width="11.1796875" style="1" customWidth="1"/>
    <col min="10" max="16384" width="11.453125" style="1"/>
  </cols>
  <sheetData>
    <row r="1" spans="2:10" x14ac:dyDescent="0.25">
      <c r="B1" s="1">
        <v>60</v>
      </c>
      <c r="C1" s="1">
        <v>20</v>
      </c>
      <c r="D1" s="1">
        <f>+B1*C1/100</f>
        <v>12</v>
      </c>
    </row>
    <row r="9" spans="2:10" s="2" customFormat="1" ht="25" x14ac:dyDescent="0.25">
      <c r="D9" s="5" t="s">
        <v>8</v>
      </c>
      <c r="E9" s="5" t="s">
        <v>4</v>
      </c>
      <c r="F9" s="5" t="s">
        <v>8</v>
      </c>
      <c r="G9" s="5" t="s">
        <v>4</v>
      </c>
      <c r="H9" s="5" t="s">
        <v>8</v>
      </c>
      <c r="I9" s="5" t="s">
        <v>4</v>
      </c>
    </row>
    <row r="10" spans="2:10" ht="47.25" customHeight="1" x14ac:dyDescent="0.25">
      <c r="D10" s="3" t="s">
        <v>7</v>
      </c>
      <c r="E10" s="3" t="s">
        <v>7</v>
      </c>
      <c r="F10" s="3" t="s">
        <v>6</v>
      </c>
      <c r="G10" s="3" t="s">
        <v>6</v>
      </c>
      <c r="H10" s="3" t="s">
        <v>5</v>
      </c>
      <c r="I10" s="3" t="s">
        <v>5</v>
      </c>
    </row>
    <row r="11" spans="2:10" ht="33.75" customHeight="1" x14ac:dyDescent="0.25">
      <c r="B11" s="122" t="s">
        <v>0</v>
      </c>
      <c r="C11" s="4" t="s">
        <v>1</v>
      </c>
      <c r="D11" s="125" t="s">
        <v>9</v>
      </c>
      <c r="E11" s="125"/>
      <c r="F11" s="125" t="s">
        <v>9</v>
      </c>
      <c r="G11" s="125"/>
      <c r="H11" s="126" t="s">
        <v>12</v>
      </c>
      <c r="I11" s="126"/>
    </row>
    <row r="12" spans="2:10" ht="33.75" customHeight="1" x14ac:dyDescent="0.25">
      <c r="B12" s="123"/>
      <c r="C12" s="4" t="s">
        <v>2</v>
      </c>
      <c r="D12" s="125" t="s">
        <v>9</v>
      </c>
      <c r="E12" s="125"/>
      <c r="F12" s="126" t="s">
        <v>12</v>
      </c>
      <c r="G12" s="126"/>
      <c r="H12" s="127" t="s">
        <v>10</v>
      </c>
      <c r="I12" s="127"/>
    </row>
    <row r="13" spans="2:10" ht="33.75" customHeight="1" x14ac:dyDescent="0.25">
      <c r="B13" s="124"/>
      <c r="C13" s="4" t="s">
        <v>3</v>
      </c>
      <c r="D13" s="126" t="s">
        <v>12</v>
      </c>
      <c r="E13" s="126"/>
      <c r="F13" s="127" t="s">
        <v>10</v>
      </c>
      <c r="G13" s="127"/>
      <c r="H13" s="128" t="s">
        <v>11</v>
      </c>
      <c r="I13" s="128"/>
    </row>
    <row r="16" spans="2:10" ht="13" thickBot="1" x14ac:dyDescent="0.3">
      <c r="C16" s="6"/>
      <c r="D16" s="6"/>
      <c r="E16" s="6"/>
      <c r="F16" s="6"/>
      <c r="G16" s="6"/>
      <c r="H16" s="6"/>
      <c r="I16" s="6"/>
      <c r="J16" s="6"/>
    </row>
    <row r="17" spans="3:15" ht="38" thickBot="1" x14ac:dyDescent="0.3">
      <c r="C17" s="113" t="s">
        <v>13</v>
      </c>
      <c r="D17" s="7" t="s">
        <v>14</v>
      </c>
      <c r="E17" s="7" t="s">
        <v>4</v>
      </c>
      <c r="F17" s="7" t="s">
        <v>14</v>
      </c>
      <c r="G17" s="7" t="s">
        <v>4</v>
      </c>
      <c r="H17" s="7" t="s">
        <v>14</v>
      </c>
      <c r="I17" s="7" t="s">
        <v>4</v>
      </c>
      <c r="J17" s="7" t="s">
        <v>14</v>
      </c>
      <c r="K17" s="7" t="s">
        <v>4</v>
      </c>
      <c r="L17" s="7" t="s">
        <v>14</v>
      </c>
      <c r="M17" s="7" t="s">
        <v>4</v>
      </c>
      <c r="N17" s="7" t="s">
        <v>14</v>
      </c>
      <c r="O17" s="7" t="s">
        <v>4</v>
      </c>
    </row>
    <row r="18" spans="3:15" ht="13" thickBot="1" x14ac:dyDescent="0.3">
      <c r="C18" s="114"/>
      <c r="D18" s="8" t="s">
        <v>7</v>
      </c>
      <c r="E18" s="8" t="s">
        <v>7</v>
      </c>
      <c r="F18" s="8" t="s">
        <v>7</v>
      </c>
      <c r="G18" s="8" t="s">
        <v>6</v>
      </c>
      <c r="H18" s="8" t="s">
        <v>7</v>
      </c>
      <c r="I18" s="8" t="s">
        <v>15</v>
      </c>
      <c r="J18" s="8" t="s">
        <v>6</v>
      </c>
      <c r="K18" s="8" t="s">
        <v>6</v>
      </c>
      <c r="L18" s="8" t="s">
        <v>6</v>
      </c>
      <c r="M18" s="8" t="s">
        <v>15</v>
      </c>
      <c r="N18" s="8" t="s">
        <v>15</v>
      </c>
      <c r="O18" s="8" t="s">
        <v>15</v>
      </c>
    </row>
    <row r="19" spans="3:15" ht="13" thickBot="1" x14ac:dyDescent="0.3">
      <c r="C19" s="9" t="s">
        <v>15</v>
      </c>
      <c r="D19" s="115" t="s">
        <v>16</v>
      </c>
      <c r="E19" s="116"/>
      <c r="F19" s="115" t="s">
        <v>16</v>
      </c>
      <c r="G19" s="116"/>
      <c r="H19" s="115" t="s">
        <v>16</v>
      </c>
      <c r="I19" s="116"/>
      <c r="J19" s="117" t="s">
        <v>16</v>
      </c>
      <c r="K19" s="116"/>
      <c r="L19" s="111" t="s">
        <v>18</v>
      </c>
      <c r="M19" s="112"/>
      <c r="N19" s="118" t="s">
        <v>11</v>
      </c>
      <c r="O19" s="119"/>
    </row>
    <row r="20" spans="3:15" ht="13" thickBot="1" x14ac:dyDescent="0.3">
      <c r="C20" s="9" t="s">
        <v>6</v>
      </c>
      <c r="D20" s="120" t="s">
        <v>17</v>
      </c>
      <c r="E20" s="121"/>
      <c r="F20" s="120" t="s">
        <v>17</v>
      </c>
      <c r="G20" s="121"/>
      <c r="H20" s="117" t="s">
        <v>16</v>
      </c>
      <c r="I20" s="116"/>
      <c r="J20" s="117" t="s">
        <v>16</v>
      </c>
      <c r="K20" s="116"/>
      <c r="L20" s="117" t="s">
        <v>16</v>
      </c>
      <c r="M20" s="116"/>
      <c r="N20" s="111" t="s">
        <v>18</v>
      </c>
      <c r="O20" s="112"/>
    </row>
    <row r="21" spans="3:15" ht="13" thickBot="1" x14ac:dyDescent="0.3">
      <c r="C21" s="9" t="s">
        <v>7</v>
      </c>
      <c r="D21" s="120" t="s">
        <v>17</v>
      </c>
      <c r="E21" s="121"/>
      <c r="F21" s="120" t="s">
        <v>17</v>
      </c>
      <c r="G21" s="121"/>
      <c r="H21" s="120" t="s">
        <v>17</v>
      </c>
      <c r="I21" s="121"/>
      <c r="J21" s="117" t="s">
        <v>16</v>
      </c>
      <c r="K21" s="116"/>
      <c r="L21" s="117" t="s">
        <v>16</v>
      </c>
      <c r="M21" s="116"/>
      <c r="N21" s="111" t="s">
        <v>18</v>
      </c>
      <c r="O21" s="112"/>
    </row>
    <row r="25" spans="3:15" x14ac:dyDescent="0.25">
      <c r="D25" s="43" t="s">
        <v>102</v>
      </c>
      <c r="E25" s="43" t="s">
        <v>103</v>
      </c>
      <c r="F25" s="43" t="s">
        <v>104</v>
      </c>
      <c r="G25" s="1" t="s">
        <v>108</v>
      </c>
      <c r="H25" s="1" t="s">
        <v>109</v>
      </c>
      <c r="I25" s="1" t="s">
        <v>110</v>
      </c>
      <c r="J25" s="1" t="s">
        <v>111</v>
      </c>
    </row>
    <row r="26" spans="3:15" x14ac:dyDescent="0.25">
      <c r="D26" s="1" t="s">
        <v>105</v>
      </c>
      <c r="E26" s="1" t="s">
        <v>105</v>
      </c>
      <c r="F26" s="1" t="s">
        <v>105</v>
      </c>
      <c r="G26" s="44">
        <f t="shared" ref="G26:G46" si="0">IF(D26="A",3,IF(D26="M",2,1))</f>
        <v>3</v>
      </c>
      <c r="H26" s="44">
        <f t="shared" ref="H26:H46" si="1">IF(E26="A",3,IF(E26="M",2,1))</f>
        <v>3</v>
      </c>
      <c r="I26" s="44">
        <f t="shared" ref="I26:I46" si="2">IF(F26="A",3,IF(F26="M",2,1))</f>
        <v>3</v>
      </c>
      <c r="J26" s="44">
        <f t="shared" ref="J26:J46" si="3">SUM(G26:I26)</f>
        <v>9</v>
      </c>
    </row>
    <row r="27" spans="3:15" x14ac:dyDescent="0.25">
      <c r="D27" s="1" t="s">
        <v>105</v>
      </c>
      <c r="E27" s="1" t="s">
        <v>105</v>
      </c>
      <c r="F27" s="1" t="s">
        <v>106</v>
      </c>
      <c r="G27" s="45">
        <f t="shared" si="0"/>
        <v>3</v>
      </c>
      <c r="H27" s="45">
        <f t="shared" si="1"/>
        <v>3</v>
      </c>
      <c r="I27" s="45">
        <f t="shared" si="2"/>
        <v>2</v>
      </c>
      <c r="J27" s="45">
        <f t="shared" si="3"/>
        <v>8</v>
      </c>
    </row>
    <row r="28" spans="3:15" x14ac:dyDescent="0.25">
      <c r="D28" s="1" t="s">
        <v>105</v>
      </c>
      <c r="E28" s="1" t="s">
        <v>106</v>
      </c>
      <c r="F28" s="1" t="s">
        <v>105</v>
      </c>
      <c r="G28" s="45">
        <f t="shared" si="0"/>
        <v>3</v>
      </c>
      <c r="H28" s="45">
        <f t="shared" si="1"/>
        <v>2</v>
      </c>
      <c r="I28" s="45">
        <f t="shared" si="2"/>
        <v>3</v>
      </c>
      <c r="J28" s="45">
        <f t="shared" si="3"/>
        <v>8</v>
      </c>
    </row>
    <row r="29" spans="3:15" x14ac:dyDescent="0.25">
      <c r="D29" s="1" t="s">
        <v>106</v>
      </c>
      <c r="E29" s="1" t="s">
        <v>105</v>
      </c>
      <c r="F29" s="1" t="s">
        <v>105</v>
      </c>
      <c r="G29" s="45">
        <f t="shared" si="0"/>
        <v>2</v>
      </c>
      <c r="H29" s="45">
        <f t="shared" si="1"/>
        <v>3</v>
      </c>
      <c r="I29" s="45">
        <f t="shared" si="2"/>
        <v>3</v>
      </c>
      <c r="J29" s="45">
        <f t="shared" si="3"/>
        <v>8</v>
      </c>
    </row>
    <row r="30" spans="3:15" x14ac:dyDescent="0.25">
      <c r="D30" s="1" t="s">
        <v>105</v>
      </c>
      <c r="E30" s="1" t="s">
        <v>106</v>
      </c>
      <c r="F30" s="1" t="s">
        <v>106</v>
      </c>
      <c r="G30" s="46">
        <f t="shared" si="0"/>
        <v>3</v>
      </c>
      <c r="H30" s="46">
        <f t="shared" si="1"/>
        <v>2</v>
      </c>
      <c r="I30" s="46">
        <f t="shared" si="2"/>
        <v>2</v>
      </c>
      <c r="J30" s="46">
        <f t="shared" si="3"/>
        <v>7</v>
      </c>
    </row>
    <row r="31" spans="3:15" x14ac:dyDescent="0.25">
      <c r="D31" s="1" t="s">
        <v>106</v>
      </c>
      <c r="E31" s="1" t="s">
        <v>105</v>
      </c>
      <c r="F31" s="1" t="s">
        <v>106</v>
      </c>
      <c r="G31" s="46">
        <f t="shared" si="0"/>
        <v>2</v>
      </c>
      <c r="H31" s="46">
        <f t="shared" si="1"/>
        <v>3</v>
      </c>
      <c r="I31" s="46">
        <f t="shared" si="2"/>
        <v>2</v>
      </c>
      <c r="J31" s="46">
        <f t="shared" si="3"/>
        <v>7</v>
      </c>
    </row>
    <row r="32" spans="3:15" x14ac:dyDescent="0.25">
      <c r="D32" s="1" t="s">
        <v>106</v>
      </c>
      <c r="E32" s="1" t="s">
        <v>106</v>
      </c>
      <c r="F32" s="1" t="s">
        <v>105</v>
      </c>
      <c r="G32" s="46">
        <f t="shared" si="0"/>
        <v>2</v>
      </c>
      <c r="H32" s="46">
        <f t="shared" si="1"/>
        <v>2</v>
      </c>
      <c r="I32" s="46">
        <f t="shared" si="2"/>
        <v>3</v>
      </c>
      <c r="J32" s="46">
        <f t="shared" si="3"/>
        <v>7</v>
      </c>
    </row>
    <row r="33" spans="4:10" x14ac:dyDescent="0.25">
      <c r="D33" s="1" t="s">
        <v>107</v>
      </c>
      <c r="E33" s="1" t="s">
        <v>105</v>
      </c>
      <c r="F33" s="1" t="s">
        <v>105</v>
      </c>
      <c r="G33" s="46">
        <f t="shared" si="0"/>
        <v>1</v>
      </c>
      <c r="H33" s="46">
        <f t="shared" si="1"/>
        <v>3</v>
      </c>
      <c r="I33" s="46">
        <f t="shared" si="2"/>
        <v>3</v>
      </c>
      <c r="J33" s="46">
        <f t="shared" si="3"/>
        <v>7</v>
      </c>
    </row>
    <row r="34" spans="4:10" x14ac:dyDescent="0.25">
      <c r="D34" s="1" t="s">
        <v>105</v>
      </c>
      <c r="E34" s="1" t="s">
        <v>106</v>
      </c>
      <c r="F34" s="1" t="s">
        <v>107</v>
      </c>
      <c r="G34" s="46">
        <f t="shared" si="0"/>
        <v>3</v>
      </c>
      <c r="H34" s="46">
        <f t="shared" si="1"/>
        <v>2</v>
      </c>
      <c r="I34" s="46">
        <f t="shared" si="2"/>
        <v>1</v>
      </c>
      <c r="J34" s="46">
        <f t="shared" si="3"/>
        <v>6</v>
      </c>
    </row>
    <row r="35" spans="4:10" x14ac:dyDescent="0.25">
      <c r="D35" s="1" t="s">
        <v>105</v>
      </c>
      <c r="E35" s="1" t="s">
        <v>107</v>
      </c>
      <c r="F35" s="1" t="s">
        <v>106</v>
      </c>
      <c r="G35" s="46">
        <f t="shared" si="0"/>
        <v>3</v>
      </c>
      <c r="H35" s="46">
        <f t="shared" si="1"/>
        <v>1</v>
      </c>
      <c r="I35" s="46">
        <f t="shared" si="2"/>
        <v>2</v>
      </c>
      <c r="J35" s="46">
        <f t="shared" si="3"/>
        <v>6</v>
      </c>
    </row>
    <row r="36" spans="4:10" x14ac:dyDescent="0.25">
      <c r="D36" s="1" t="s">
        <v>106</v>
      </c>
      <c r="E36" s="1" t="s">
        <v>106</v>
      </c>
      <c r="F36" s="1" t="s">
        <v>106</v>
      </c>
      <c r="G36" s="46">
        <f t="shared" si="0"/>
        <v>2</v>
      </c>
      <c r="H36" s="46">
        <f t="shared" si="1"/>
        <v>2</v>
      </c>
      <c r="I36" s="46">
        <f t="shared" si="2"/>
        <v>2</v>
      </c>
      <c r="J36" s="46">
        <f t="shared" si="3"/>
        <v>6</v>
      </c>
    </row>
    <row r="37" spans="4:10" x14ac:dyDescent="0.25">
      <c r="D37" s="1" t="s">
        <v>107</v>
      </c>
      <c r="E37" s="1" t="s">
        <v>105</v>
      </c>
      <c r="F37" s="1" t="s">
        <v>106</v>
      </c>
      <c r="G37" s="46">
        <f t="shared" si="0"/>
        <v>1</v>
      </c>
      <c r="H37" s="46">
        <f t="shared" si="1"/>
        <v>3</v>
      </c>
      <c r="I37" s="46">
        <f t="shared" si="2"/>
        <v>2</v>
      </c>
      <c r="J37" s="46">
        <f t="shared" si="3"/>
        <v>6</v>
      </c>
    </row>
    <row r="38" spans="4:10" x14ac:dyDescent="0.25">
      <c r="D38" s="1" t="s">
        <v>107</v>
      </c>
      <c r="E38" s="1" t="s">
        <v>106</v>
      </c>
      <c r="F38" s="1" t="s">
        <v>105</v>
      </c>
      <c r="G38" s="46">
        <f t="shared" si="0"/>
        <v>1</v>
      </c>
      <c r="H38" s="46">
        <f t="shared" si="1"/>
        <v>2</v>
      </c>
      <c r="I38" s="46">
        <f t="shared" si="2"/>
        <v>3</v>
      </c>
      <c r="J38" s="46">
        <f t="shared" si="3"/>
        <v>6</v>
      </c>
    </row>
    <row r="39" spans="4:10" x14ac:dyDescent="0.25">
      <c r="D39" s="1" t="s">
        <v>105</v>
      </c>
      <c r="E39" s="1" t="s">
        <v>107</v>
      </c>
      <c r="F39" s="1" t="s">
        <v>107</v>
      </c>
      <c r="G39" s="47">
        <f t="shared" si="0"/>
        <v>3</v>
      </c>
      <c r="H39" s="47">
        <f t="shared" si="1"/>
        <v>1</v>
      </c>
      <c r="I39" s="47">
        <f t="shared" si="2"/>
        <v>1</v>
      </c>
      <c r="J39" s="47">
        <f t="shared" si="3"/>
        <v>5</v>
      </c>
    </row>
    <row r="40" spans="4:10" x14ac:dyDescent="0.25">
      <c r="D40" s="1" t="s">
        <v>106</v>
      </c>
      <c r="E40" s="1" t="s">
        <v>106</v>
      </c>
      <c r="F40" s="1" t="s">
        <v>107</v>
      </c>
      <c r="G40" s="47">
        <f t="shared" si="0"/>
        <v>2</v>
      </c>
      <c r="H40" s="47">
        <f t="shared" si="1"/>
        <v>2</v>
      </c>
      <c r="I40" s="47">
        <f t="shared" si="2"/>
        <v>1</v>
      </c>
      <c r="J40" s="47">
        <f t="shared" si="3"/>
        <v>5</v>
      </c>
    </row>
    <row r="41" spans="4:10" x14ac:dyDescent="0.25">
      <c r="D41" s="1" t="s">
        <v>106</v>
      </c>
      <c r="E41" s="1" t="s">
        <v>107</v>
      </c>
      <c r="F41" s="1" t="s">
        <v>106</v>
      </c>
      <c r="G41" s="47">
        <f t="shared" si="0"/>
        <v>2</v>
      </c>
      <c r="H41" s="47">
        <f t="shared" si="1"/>
        <v>1</v>
      </c>
      <c r="I41" s="47">
        <f t="shared" si="2"/>
        <v>2</v>
      </c>
      <c r="J41" s="47">
        <f t="shared" si="3"/>
        <v>5</v>
      </c>
    </row>
    <row r="42" spans="4:10" x14ac:dyDescent="0.25">
      <c r="D42" s="1" t="s">
        <v>107</v>
      </c>
      <c r="E42" s="1" t="s">
        <v>106</v>
      </c>
      <c r="F42" s="1" t="s">
        <v>106</v>
      </c>
      <c r="G42" s="47">
        <f t="shared" si="0"/>
        <v>1</v>
      </c>
      <c r="H42" s="47">
        <f t="shared" si="1"/>
        <v>2</v>
      </c>
      <c r="I42" s="47">
        <f t="shared" si="2"/>
        <v>2</v>
      </c>
      <c r="J42" s="47">
        <f t="shared" si="3"/>
        <v>5</v>
      </c>
    </row>
    <row r="43" spans="4:10" x14ac:dyDescent="0.25">
      <c r="D43" s="1" t="s">
        <v>106</v>
      </c>
      <c r="E43" s="1" t="s">
        <v>107</v>
      </c>
      <c r="F43" s="1" t="s">
        <v>107</v>
      </c>
      <c r="G43" s="47">
        <f t="shared" si="0"/>
        <v>2</v>
      </c>
      <c r="H43" s="47">
        <f t="shared" si="1"/>
        <v>1</v>
      </c>
      <c r="I43" s="47">
        <f t="shared" si="2"/>
        <v>1</v>
      </c>
      <c r="J43" s="47">
        <f t="shared" si="3"/>
        <v>4</v>
      </c>
    </row>
    <row r="44" spans="4:10" x14ac:dyDescent="0.25">
      <c r="D44" s="1" t="s">
        <v>107</v>
      </c>
      <c r="E44" s="1" t="s">
        <v>106</v>
      </c>
      <c r="F44" s="1" t="s">
        <v>107</v>
      </c>
      <c r="G44" s="47">
        <f t="shared" si="0"/>
        <v>1</v>
      </c>
      <c r="H44" s="47">
        <f t="shared" si="1"/>
        <v>2</v>
      </c>
      <c r="I44" s="47">
        <f t="shared" si="2"/>
        <v>1</v>
      </c>
      <c r="J44" s="47">
        <f t="shared" si="3"/>
        <v>4</v>
      </c>
    </row>
    <row r="45" spans="4:10" x14ac:dyDescent="0.25">
      <c r="D45" s="1" t="s">
        <v>107</v>
      </c>
      <c r="E45" s="1" t="s">
        <v>107</v>
      </c>
      <c r="F45" s="1" t="s">
        <v>106</v>
      </c>
      <c r="G45" s="47">
        <f t="shared" si="0"/>
        <v>1</v>
      </c>
      <c r="H45" s="47">
        <f t="shared" si="1"/>
        <v>1</v>
      </c>
      <c r="I45" s="47">
        <f t="shared" si="2"/>
        <v>2</v>
      </c>
      <c r="J45" s="47">
        <f t="shared" si="3"/>
        <v>4</v>
      </c>
    </row>
    <row r="46" spans="4:10" x14ac:dyDescent="0.25">
      <c r="D46" s="1" t="s">
        <v>107</v>
      </c>
      <c r="E46" s="1" t="s">
        <v>107</v>
      </c>
      <c r="F46" s="1" t="s">
        <v>107</v>
      </c>
      <c r="G46" s="47">
        <f t="shared" si="0"/>
        <v>1</v>
      </c>
      <c r="H46" s="47">
        <f t="shared" si="1"/>
        <v>1</v>
      </c>
      <c r="I46" s="47">
        <f t="shared" si="2"/>
        <v>1</v>
      </c>
      <c r="J46" s="47">
        <f t="shared" si="3"/>
        <v>3</v>
      </c>
    </row>
  </sheetData>
  <mergeCells count="29">
    <mergeCell ref="H20:I20"/>
    <mergeCell ref="F20:G20"/>
    <mergeCell ref="J21:K21"/>
    <mergeCell ref="B11:B13"/>
    <mergeCell ref="D11:E11"/>
    <mergeCell ref="F11:G11"/>
    <mergeCell ref="H11:I11"/>
    <mergeCell ref="D12:E12"/>
    <mergeCell ref="F12:G12"/>
    <mergeCell ref="H12:I12"/>
    <mergeCell ref="D13:E13"/>
    <mergeCell ref="F13:G13"/>
    <mergeCell ref="H13:I13"/>
    <mergeCell ref="N21:O21"/>
    <mergeCell ref="C17:C18"/>
    <mergeCell ref="D19:E19"/>
    <mergeCell ref="J19:K19"/>
    <mergeCell ref="N19:O19"/>
    <mergeCell ref="D20:E20"/>
    <mergeCell ref="J20:K20"/>
    <mergeCell ref="N20:O20"/>
    <mergeCell ref="D21:E21"/>
    <mergeCell ref="F19:G19"/>
    <mergeCell ref="H19:I19"/>
    <mergeCell ref="L19:M19"/>
    <mergeCell ref="L20:M20"/>
    <mergeCell ref="L21:M21"/>
    <mergeCell ref="F21:G21"/>
    <mergeCell ref="H21:I2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T35"/>
  <sheetViews>
    <sheetView workbookViewId="0">
      <selection activeCell="G2" sqref="G2"/>
    </sheetView>
  </sheetViews>
  <sheetFormatPr baseColWidth="10" defaultColWidth="11.453125" defaultRowHeight="14.5" x14ac:dyDescent="0.35"/>
  <cols>
    <col min="1" max="1" width="4.7265625" style="37" bestFit="1" customWidth="1"/>
    <col min="2" max="2" width="6.54296875" style="37" bestFit="1" customWidth="1"/>
    <col min="3" max="3" width="4.54296875" style="37" bestFit="1" customWidth="1"/>
    <col min="4" max="4" width="11" style="37" hidden="1" customWidth="1"/>
    <col min="5" max="5" width="6.54296875" style="37" bestFit="1" customWidth="1"/>
    <col min="6" max="6" width="7.453125" style="37" bestFit="1" customWidth="1"/>
    <col min="7" max="7" width="6.54296875" style="37" bestFit="1" customWidth="1"/>
    <col min="8" max="8" width="4.54296875" style="37" bestFit="1" customWidth="1"/>
    <col min="9" max="9" width="5.81640625" style="37" customWidth="1"/>
    <col min="10" max="10" width="5.1796875" style="37" bestFit="1" customWidth="1"/>
    <col min="11" max="11" width="6.54296875" style="37" bestFit="1" customWidth="1"/>
    <col min="12" max="12" width="4.54296875" style="37" bestFit="1" customWidth="1"/>
    <col min="13" max="13" width="11" style="37" hidden="1" customWidth="1"/>
    <col min="14" max="14" width="6.54296875" style="37" bestFit="1" customWidth="1"/>
    <col min="15" max="15" width="7.453125" style="37" bestFit="1" customWidth="1"/>
    <col min="16" max="16" width="6.54296875" style="37" bestFit="1" customWidth="1"/>
    <col min="17" max="18" width="10.81640625" style="37" bestFit="1" customWidth="1"/>
    <col min="19" max="19" width="4.81640625" style="37" bestFit="1" customWidth="1"/>
    <col min="20" max="20" width="10.1796875" style="37" bestFit="1" customWidth="1"/>
    <col min="21" max="21" width="4.54296875" style="37" bestFit="1" customWidth="1"/>
    <col min="22" max="22" width="5.453125" style="37" customWidth="1"/>
    <col min="23" max="23" width="5.1796875" style="37" bestFit="1" customWidth="1"/>
    <col min="24" max="24" width="4.7265625" style="37" bestFit="1" customWidth="1"/>
    <col min="25" max="25" width="6.54296875" style="37" bestFit="1" customWidth="1"/>
    <col min="26" max="26" width="4.54296875" style="37" bestFit="1" customWidth="1"/>
    <col min="27" max="27" width="7.1796875" style="37" customWidth="1"/>
    <col min="28" max="28" width="5.1796875" style="37" bestFit="1" customWidth="1"/>
    <col min="29" max="29" width="4.7265625" style="37" bestFit="1" customWidth="1"/>
    <col min="30" max="30" width="6.54296875" style="37" bestFit="1" customWidth="1"/>
    <col min="31" max="31" width="4.54296875" style="37" bestFit="1" customWidth="1"/>
    <col min="32" max="32" width="6.81640625" style="37" customWidth="1"/>
    <col min="33" max="33" width="5.1796875" style="37" bestFit="1" customWidth="1"/>
    <col min="34" max="34" width="4.7265625" style="37" bestFit="1" customWidth="1"/>
    <col min="35" max="35" width="6.54296875" style="37" bestFit="1" customWidth="1"/>
    <col min="36" max="36" width="4.54296875" style="37" bestFit="1" customWidth="1"/>
    <col min="37" max="37" width="7.7265625" style="37" customWidth="1"/>
    <col min="38" max="38" width="5.1796875" style="37" bestFit="1" customWidth="1"/>
    <col min="39" max="39" width="4.7265625" style="37" bestFit="1" customWidth="1"/>
    <col min="40" max="40" width="6.54296875" style="37" bestFit="1" customWidth="1"/>
    <col min="41" max="41" width="4.54296875" style="37" bestFit="1" customWidth="1"/>
    <col min="42" max="16384" width="11.453125" style="37"/>
  </cols>
  <sheetData>
    <row r="1" spans="1:20" x14ac:dyDescent="0.35">
      <c r="A1" s="37" t="s">
        <v>7</v>
      </c>
      <c r="B1" s="37" t="s">
        <v>6</v>
      </c>
      <c r="C1" s="37" t="s">
        <v>15</v>
      </c>
      <c r="D1" s="37" t="s">
        <v>95</v>
      </c>
      <c r="E1" s="37" t="s">
        <v>96</v>
      </c>
      <c r="F1" s="37" t="s">
        <v>97</v>
      </c>
      <c r="G1" s="37" t="s">
        <v>98</v>
      </c>
      <c r="Q1" s="13" t="s">
        <v>7</v>
      </c>
      <c r="R1" s="13" t="s">
        <v>6</v>
      </c>
      <c r="S1" s="13" t="s">
        <v>15</v>
      </c>
      <c r="T1" s="13" t="s">
        <v>91</v>
      </c>
    </row>
    <row r="2" spans="1:20" x14ac:dyDescent="0.35">
      <c r="A2" s="37">
        <v>0</v>
      </c>
      <c r="B2" s="37">
        <v>0</v>
      </c>
      <c r="C2" s="37">
        <v>7</v>
      </c>
      <c r="D2" s="37">
        <f t="shared" ref="D2:D35" si="0">SUM(A2:C2)</f>
        <v>7</v>
      </c>
      <c r="E2" s="37" t="s">
        <v>15</v>
      </c>
      <c r="F2" s="37">
        <f t="shared" ref="F2:F35" si="1">(A2*1)+(B2*2)+(C2*3)</f>
        <v>21</v>
      </c>
      <c r="G2" s="37" t="str">
        <f t="shared" ref="G2:G35" si="2">IF(C2&gt;=3,"Alta",IF(AND(A2&lt;=4,B2&gt;=2),"Media","Baja"))</f>
        <v>Alta</v>
      </c>
      <c r="Q2" s="13" t="s">
        <v>83</v>
      </c>
      <c r="R2" s="13" t="s">
        <v>84</v>
      </c>
      <c r="S2" s="13">
        <v>0</v>
      </c>
      <c r="T2" s="13" t="s">
        <v>7</v>
      </c>
    </row>
    <row r="3" spans="1:20" x14ac:dyDescent="0.35">
      <c r="A3" s="37">
        <v>1</v>
      </c>
      <c r="B3" s="37">
        <v>0</v>
      </c>
      <c r="C3" s="37">
        <v>6</v>
      </c>
      <c r="D3" s="37">
        <f t="shared" si="0"/>
        <v>7</v>
      </c>
      <c r="E3" s="37" t="s">
        <v>15</v>
      </c>
      <c r="F3" s="37">
        <f t="shared" si="1"/>
        <v>19</v>
      </c>
      <c r="G3" s="37" t="str">
        <f t="shared" si="2"/>
        <v>Alta</v>
      </c>
      <c r="Q3" s="13" t="s">
        <v>83</v>
      </c>
      <c r="R3" s="13" t="s">
        <v>84</v>
      </c>
      <c r="S3" s="13" t="s">
        <v>85</v>
      </c>
      <c r="T3" s="13" t="s">
        <v>7</v>
      </c>
    </row>
    <row r="4" spans="1:20" x14ac:dyDescent="0.35">
      <c r="A4" s="37">
        <v>2</v>
      </c>
      <c r="B4" s="37">
        <v>0</v>
      </c>
      <c r="C4" s="37">
        <v>5</v>
      </c>
      <c r="D4" s="37">
        <f t="shared" si="0"/>
        <v>7</v>
      </c>
      <c r="E4" s="37" t="s">
        <v>15</v>
      </c>
      <c r="F4" s="37">
        <f t="shared" si="1"/>
        <v>17</v>
      </c>
      <c r="G4" s="37" t="str">
        <f t="shared" si="2"/>
        <v>Alta</v>
      </c>
      <c r="Q4" s="13" t="s">
        <v>86</v>
      </c>
      <c r="R4" s="13" t="s">
        <v>87</v>
      </c>
      <c r="S4" s="13" t="s">
        <v>85</v>
      </c>
      <c r="T4" s="13" t="s">
        <v>6</v>
      </c>
    </row>
    <row r="5" spans="1:20" x14ac:dyDescent="0.35">
      <c r="A5" s="37">
        <v>1</v>
      </c>
      <c r="B5" s="37">
        <v>1</v>
      </c>
      <c r="C5" s="37">
        <v>5</v>
      </c>
      <c r="D5" s="37">
        <f t="shared" si="0"/>
        <v>7</v>
      </c>
      <c r="E5" s="37" t="s">
        <v>15</v>
      </c>
      <c r="F5" s="37">
        <f t="shared" si="1"/>
        <v>18</v>
      </c>
      <c r="G5" s="37" t="str">
        <f t="shared" si="2"/>
        <v>Alta</v>
      </c>
      <c r="Q5" s="13" t="s">
        <v>89</v>
      </c>
      <c r="R5" s="13" t="s">
        <v>88</v>
      </c>
      <c r="S5" s="13" t="s">
        <v>84</v>
      </c>
      <c r="T5" s="13" t="s">
        <v>6</v>
      </c>
    </row>
    <row r="6" spans="1:20" x14ac:dyDescent="0.35">
      <c r="A6" s="37">
        <v>3</v>
      </c>
      <c r="B6" s="37">
        <v>0</v>
      </c>
      <c r="C6" s="37">
        <v>4</v>
      </c>
      <c r="D6" s="37">
        <f t="shared" si="0"/>
        <v>7</v>
      </c>
      <c r="E6" s="37" t="s">
        <v>15</v>
      </c>
      <c r="F6" s="37">
        <f t="shared" si="1"/>
        <v>15</v>
      </c>
      <c r="G6" s="37" t="str">
        <f t="shared" si="2"/>
        <v>Alta</v>
      </c>
      <c r="Q6" s="13" t="s">
        <v>90</v>
      </c>
      <c r="R6" s="13" t="s">
        <v>90</v>
      </c>
      <c r="S6" s="13" t="s">
        <v>88</v>
      </c>
      <c r="T6" s="13" t="s">
        <v>15</v>
      </c>
    </row>
    <row r="7" spans="1:20" x14ac:dyDescent="0.35">
      <c r="A7" s="37">
        <v>2</v>
      </c>
      <c r="B7" s="37">
        <v>1</v>
      </c>
      <c r="C7" s="37">
        <v>4</v>
      </c>
      <c r="D7" s="37">
        <f t="shared" si="0"/>
        <v>7</v>
      </c>
      <c r="E7" s="37" t="s">
        <v>15</v>
      </c>
      <c r="F7" s="37">
        <f t="shared" si="1"/>
        <v>16</v>
      </c>
      <c r="G7" s="37" t="str">
        <f t="shared" si="2"/>
        <v>Alta</v>
      </c>
    </row>
    <row r="8" spans="1:20" x14ac:dyDescent="0.35">
      <c r="A8" s="37">
        <v>1</v>
      </c>
      <c r="B8" s="37">
        <v>2</v>
      </c>
      <c r="C8" s="37">
        <v>4</v>
      </c>
      <c r="D8" s="37">
        <f t="shared" si="0"/>
        <v>7</v>
      </c>
      <c r="E8" s="37" t="s">
        <v>15</v>
      </c>
      <c r="F8" s="37">
        <f t="shared" si="1"/>
        <v>17</v>
      </c>
      <c r="G8" s="37" t="str">
        <f t="shared" si="2"/>
        <v>Alta</v>
      </c>
    </row>
    <row r="9" spans="1:20" x14ac:dyDescent="0.35">
      <c r="A9" s="37">
        <v>0</v>
      </c>
      <c r="B9" s="37">
        <v>3</v>
      </c>
      <c r="C9" s="37">
        <v>4</v>
      </c>
      <c r="D9" s="37">
        <f t="shared" si="0"/>
        <v>7</v>
      </c>
      <c r="E9" s="37" t="s">
        <v>15</v>
      </c>
      <c r="F9" s="37">
        <f t="shared" si="1"/>
        <v>18</v>
      </c>
      <c r="G9" s="37" t="str">
        <f t="shared" si="2"/>
        <v>Alta</v>
      </c>
    </row>
    <row r="10" spans="1:20" x14ac:dyDescent="0.35">
      <c r="A10" s="37">
        <v>4</v>
      </c>
      <c r="B10" s="37">
        <v>0</v>
      </c>
      <c r="C10" s="37">
        <v>3</v>
      </c>
      <c r="D10" s="37">
        <f t="shared" si="0"/>
        <v>7</v>
      </c>
      <c r="E10" s="37" t="s">
        <v>15</v>
      </c>
      <c r="F10" s="37">
        <f t="shared" si="1"/>
        <v>13</v>
      </c>
      <c r="G10" s="37" t="str">
        <f t="shared" si="2"/>
        <v>Alta</v>
      </c>
    </row>
    <row r="11" spans="1:20" x14ac:dyDescent="0.35">
      <c r="A11" s="37">
        <v>3</v>
      </c>
      <c r="B11" s="37">
        <v>1</v>
      </c>
      <c r="C11" s="37">
        <v>3</v>
      </c>
      <c r="D11" s="37">
        <f t="shared" si="0"/>
        <v>7</v>
      </c>
      <c r="E11" s="37" t="s">
        <v>15</v>
      </c>
      <c r="F11" s="37">
        <f t="shared" si="1"/>
        <v>14</v>
      </c>
      <c r="G11" s="37" t="str">
        <f t="shared" si="2"/>
        <v>Alta</v>
      </c>
      <c r="Q11" s="38" t="s">
        <v>7</v>
      </c>
      <c r="R11" s="39" t="s">
        <v>6</v>
      </c>
      <c r="S11" s="39" t="s">
        <v>15</v>
      </c>
      <c r="T11" s="40" t="s">
        <v>91</v>
      </c>
    </row>
    <row r="12" spans="1:20" x14ac:dyDescent="0.35">
      <c r="A12" s="37">
        <v>2</v>
      </c>
      <c r="B12" s="37">
        <v>2</v>
      </c>
      <c r="C12" s="37">
        <v>3</v>
      </c>
      <c r="D12" s="37">
        <f t="shared" si="0"/>
        <v>7</v>
      </c>
      <c r="E12" s="37" t="s">
        <v>15</v>
      </c>
      <c r="F12" s="37">
        <f t="shared" si="1"/>
        <v>15</v>
      </c>
      <c r="G12" s="37" t="str">
        <f t="shared" si="2"/>
        <v>Alta</v>
      </c>
      <c r="Q12" s="37" t="s">
        <v>83</v>
      </c>
      <c r="R12" s="37" t="s">
        <v>84</v>
      </c>
      <c r="S12" s="37">
        <v>0</v>
      </c>
      <c r="T12" s="41" t="s">
        <v>7</v>
      </c>
    </row>
    <row r="13" spans="1:20" x14ac:dyDescent="0.35">
      <c r="A13" s="37">
        <v>1</v>
      </c>
      <c r="B13" s="37">
        <v>3</v>
      </c>
      <c r="C13" s="37">
        <v>3</v>
      </c>
      <c r="D13" s="37">
        <f t="shared" si="0"/>
        <v>7</v>
      </c>
      <c r="E13" s="37" t="s">
        <v>15</v>
      </c>
      <c r="F13" s="37">
        <f t="shared" si="1"/>
        <v>16</v>
      </c>
      <c r="G13" s="37" t="str">
        <f t="shared" si="2"/>
        <v>Alta</v>
      </c>
      <c r="Q13" s="37" t="s">
        <v>83</v>
      </c>
      <c r="R13" s="37" t="s">
        <v>85</v>
      </c>
      <c r="S13" s="37" t="s">
        <v>85</v>
      </c>
      <c r="T13" s="41" t="s">
        <v>7</v>
      </c>
    </row>
    <row r="14" spans="1:20" x14ac:dyDescent="0.35">
      <c r="A14" s="37">
        <v>0</v>
      </c>
      <c r="B14" s="37">
        <v>4</v>
      </c>
      <c r="C14" s="37">
        <v>3</v>
      </c>
      <c r="D14" s="37">
        <f t="shared" si="0"/>
        <v>7</v>
      </c>
      <c r="E14" s="37" t="s">
        <v>15</v>
      </c>
      <c r="F14" s="37">
        <f t="shared" si="1"/>
        <v>17</v>
      </c>
      <c r="G14" s="37" t="str">
        <f t="shared" si="2"/>
        <v>Alta</v>
      </c>
      <c r="Q14" s="37" t="s">
        <v>86</v>
      </c>
      <c r="R14" s="37" t="s">
        <v>84</v>
      </c>
      <c r="S14" s="37" t="s">
        <v>85</v>
      </c>
      <c r="T14" s="41" t="s">
        <v>6</v>
      </c>
    </row>
    <row r="15" spans="1:20" x14ac:dyDescent="0.35">
      <c r="A15" s="37">
        <v>5</v>
      </c>
      <c r="B15" s="37">
        <v>0</v>
      </c>
      <c r="C15" s="37">
        <v>2</v>
      </c>
      <c r="D15" s="37">
        <f t="shared" si="0"/>
        <v>7</v>
      </c>
      <c r="E15" s="37" t="s">
        <v>7</v>
      </c>
      <c r="F15" s="37">
        <f t="shared" si="1"/>
        <v>11</v>
      </c>
      <c r="G15" s="37" t="str">
        <f t="shared" si="2"/>
        <v>Baja</v>
      </c>
      <c r="Q15" s="37" t="s">
        <v>86</v>
      </c>
      <c r="R15" s="37" t="s">
        <v>88</v>
      </c>
      <c r="S15" s="37" t="s">
        <v>84</v>
      </c>
      <c r="T15" s="41" t="s">
        <v>6</v>
      </c>
    </row>
    <row r="16" spans="1:20" x14ac:dyDescent="0.35">
      <c r="A16" s="37">
        <v>4</v>
      </c>
      <c r="B16" s="37">
        <v>1</v>
      </c>
      <c r="C16" s="37">
        <v>2</v>
      </c>
      <c r="D16" s="37">
        <f t="shared" si="0"/>
        <v>7</v>
      </c>
      <c r="E16" s="37" t="s">
        <v>6</v>
      </c>
      <c r="F16" s="37">
        <f t="shared" si="1"/>
        <v>12</v>
      </c>
      <c r="G16" s="37" t="str">
        <f t="shared" si="2"/>
        <v>Baja</v>
      </c>
      <c r="Q16" s="37" t="s">
        <v>100</v>
      </c>
      <c r="R16" s="37" t="s">
        <v>100</v>
      </c>
      <c r="S16" s="37" t="s">
        <v>88</v>
      </c>
      <c r="T16" s="42" t="s">
        <v>15</v>
      </c>
    </row>
    <row r="17" spans="1:20" x14ac:dyDescent="0.35">
      <c r="A17" s="37">
        <v>3</v>
      </c>
      <c r="B17" s="37">
        <v>2</v>
      </c>
      <c r="C17" s="37">
        <v>2</v>
      </c>
      <c r="D17" s="37">
        <f t="shared" si="0"/>
        <v>7</v>
      </c>
      <c r="E17" s="37" t="s">
        <v>6</v>
      </c>
      <c r="F17" s="37">
        <f t="shared" si="1"/>
        <v>13</v>
      </c>
      <c r="G17" s="37" t="str">
        <f t="shared" si="2"/>
        <v>Media</v>
      </c>
    </row>
    <row r="18" spans="1:20" x14ac:dyDescent="0.35">
      <c r="A18" s="37">
        <v>2</v>
      </c>
      <c r="B18" s="37">
        <v>3</v>
      </c>
      <c r="C18" s="37">
        <v>2</v>
      </c>
      <c r="D18" s="37">
        <f t="shared" si="0"/>
        <v>7</v>
      </c>
      <c r="E18" s="37" t="s">
        <v>6</v>
      </c>
      <c r="F18" s="37">
        <f t="shared" si="1"/>
        <v>14</v>
      </c>
      <c r="G18" s="37" t="str">
        <f t="shared" si="2"/>
        <v>Media</v>
      </c>
    </row>
    <row r="19" spans="1:20" x14ac:dyDescent="0.35">
      <c r="A19" s="37">
        <v>1</v>
      </c>
      <c r="B19" s="37">
        <v>4</v>
      </c>
      <c r="C19" s="37">
        <v>2</v>
      </c>
      <c r="D19" s="37">
        <f t="shared" si="0"/>
        <v>7</v>
      </c>
      <c r="E19" s="37" t="s">
        <v>6</v>
      </c>
      <c r="F19" s="37">
        <f t="shared" si="1"/>
        <v>15</v>
      </c>
      <c r="G19" s="37" t="str">
        <f t="shared" si="2"/>
        <v>Media</v>
      </c>
      <c r="Q19" s="13"/>
      <c r="R19" s="13"/>
      <c r="S19" s="13"/>
      <c r="T19" s="13"/>
    </row>
    <row r="20" spans="1:20" x14ac:dyDescent="0.35">
      <c r="A20" s="37">
        <v>0</v>
      </c>
      <c r="B20" s="37">
        <v>5</v>
      </c>
      <c r="C20" s="37">
        <v>2</v>
      </c>
      <c r="D20" s="37">
        <f t="shared" si="0"/>
        <v>7</v>
      </c>
      <c r="E20" s="37" t="s">
        <v>6</v>
      </c>
      <c r="F20" s="37">
        <f t="shared" si="1"/>
        <v>16</v>
      </c>
      <c r="G20" s="37" t="str">
        <f t="shared" si="2"/>
        <v>Media</v>
      </c>
      <c r="Q20" s="13"/>
      <c r="R20" s="13"/>
      <c r="S20" s="13"/>
      <c r="T20" s="13"/>
    </row>
    <row r="21" spans="1:20" x14ac:dyDescent="0.35">
      <c r="A21" s="37">
        <v>6</v>
      </c>
      <c r="B21" s="37">
        <v>0</v>
      </c>
      <c r="C21" s="37">
        <v>1</v>
      </c>
      <c r="D21" s="37">
        <f t="shared" si="0"/>
        <v>7</v>
      </c>
      <c r="E21" s="37" t="s">
        <v>7</v>
      </c>
      <c r="F21" s="37">
        <f t="shared" si="1"/>
        <v>9</v>
      </c>
      <c r="G21" s="37" t="str">
        <f t="shared" si="2"/>
        <v>Baja</v>
      </c>
      <c r="Q21" s="13"/>
      <c r="R21" s="13"/>
      <c r="S21" s="13"/>
      <c r="T21" s="13"/>
    </row>
    <row r="22" spans="1:20" x14ac:dyDescent="0.35">
      <c r="A22" s="37">
        <v>5</v>
      </c>
      <c r="B22" s="37">
        <v>1</v>
      </c>
      <c r="C22" s="37">
        <v>1</v>
      </c>
      <c r="D22" s="37">
        <f t="shared" si="0"/>
        <v>7</v>
      </c>
      <c r="E22" s="37" t="s">
        <v>7</v>
      </c>
      <c r="F22" s="37">
        <f t="shared" si="1"/>
        <v>10</v>
      </c>
      <c r="G22" s="37" t="str">
        <f t="shared" si="2"/>
        <v>Baja</v>
      </c>
      <c r="Q22" s="13"/>
      <c r="R22" s="13"/>
      <c r="S22" s="13"/>
      <c r="T22" s="13"/>
    </row>
    <row r="23" spans="1:20" x14ac:dyDescent="0.35">
      <c r="A23" s="37">
        <v>4</v>
      </c>
      <c r="B23" s="37">
        <v>2</v>
      </c>
      <c r="C23" s="37">
        <v>1</v>
      </c>
      <c r="D23" s="37">
        <f t="shared" si="0"/>
        <v>7</v>
      </c>
      <c r="E23" s="37" t="s">
        <v>6</v>
      </c>
      <c r="F23" s="37">
        <f t="shared" si="1"/>
        <v>11</v>
      </c>
      <c r="G23" s="37" t="str">
        <f t="shared" si="2"/>
        <v>Media</v>
      </c>
      <c r="Q23" s="13"/>
      <c r="R23" s="13"/>
      <c r="S23" s="13"/>
      <c r="T23" s="13"/>
    </row>
    <row r="24" spans="1:20" x14ac:dyDescent="0.35">
      <c r="A24" s="37">
        <v>3</v>
      </c>
      <c r="B24" s="37">
        <v>3</v>
      </c>
      <c r="C24" s="37">
        <v>1</v>
      </c>
      <c r="D24" s="37">
        <f t="shared" si="0"/>
        <v>7</v>
      </c>
      <c r="E24" s="37" t="s">
        <v>6</v>
      </c>
      <c r="F24" s="37">
        <f t="shared" si="1"/>
        <v>12</v>
      </c>
      <c r="G24" s="37" t="str">
        <f t="shared" si="2"/>
        <v>Media</v>
      </c>
    </row>
    <row r="25" spans="1:20" x14ac:dyDescent="0.35">
      <c r="A25" s="37">
        <v>2</v>
      </c>
      <c r="B25" s="37">
        <v>4</v>
      </c>
      <c r="C25" s="37">
        <v>1</v>
      </c>
      <c r="D25" s="37">
        <f t="shared" si="0"/>
        <v>7</v>
      </c>
      <c r="E25" s="37" t="s">
        <v>6</v>
      </c>
      <c r="F25" s="37">
        <f t="shared" si="1"/>
        <v>13</v>
      </c>
      <c r="G25" s="37" t="str">
        <f t="shared" si="2"/>
        <v>Media</v>
      </c>
    </row>
    <row r="26" spans="1:20" x14ac:dyDescent="0.35">
      <c r="A26" s="37">
        <v>1</v>
      </c>
      <c r="B26" s="37">
        <v>5</v>
      </c>
      <c r="C26" s="37">
        <v>1</v>
      </c>
      <c r="D26" s="37">
        <f t="shared" si="0"/>
        <v>7</v>
      </c>
      <c r="E26" s="37" t="s">
        <v>6</v>
      </c>
      <c r="F26" s="37">
        <f t="shared" si="1"/>
        <v>14</v>
      </c>
      <c r="G26" s="37" t="str">
        <f t="shared" si="2"/>
        <v>Media</v>
      </c>
    </row>
    <row r="27" spans="1:20" x14ac:dyDescent="0.35">
      <c r="A27" s="37">
        <v>0</v>
      </c>
      <c r="B27" s="37">
        <v>6</v>
      </c>
      <c r="C27" s="37">
        <v>1</v>
      </c>
      <c r="D27" s="37">
        <f t="shared" si="0"/>
        <v>7</v>
      </c>
      <c r="E27" s="37" t="s">
        <v>6</v>
      </c>
      <c r="F27" s="37">
        <f t="shared" si="1"/>
        <v>15</v>
      </c>
      <c r="G27" s="37" t="str">
        <f t="shared" si="2"/>
        <v>Media</v>
      </c>
    </row>
    <row r="28" spans="1:20" x14ac:dyDescent="0.35">
      <c r="A28" s="37">
        <v>7</v>
      </c>
      <c r="B28" s="37">
        <v>0</v>
      </c>
      <c r="C28" s="37">
        <v>0</v>
      </c>
      <c r="D28" s="37">
        <f t="shared" si="0"/>
        <v>7</v>
      </c>
      <c r="E28" s="37" t="s">
        <v>7</v>
      </c>
      <c r="F28" s="37">
        <f t="shared" si="1"/>
        <v>7</v>
      </c>
      <c r="G28" s="37" t="str">
        <f t="shared" si="2"/>
        <v>Baja</v>
      </c>
    </row>
    <row r="29" spans="1:20" x14ac:dyDescent="0.35">
      <c r="A29" s="37">
        <v>6</v>
      </c>
      <c r="B29" s="37">
        <v>1</v>
      </c>
      <c r="C29" s="37">
        <v>0</v>
      </c>
      <c r="D29" s="37">
        <f t="shared" si="0"/>
        <v>7</v>
      </c>
      <c r="E29" s="37" t="s">
        <v>7</v>
      </c>
      <c r="F29" s="37">
        <f t="shared" si="1"/>
        <v>8</v>
      </c>
      <c r="G29" s="37" t="str">
        <f t="shared" si="2"/>
        <v>Baja</v>
      </c>
    </row>
    <row r="30" spans="1:20" x14ac:dyDescent="0.35">
      <c r="A30" s="37">
        <v>5</v>
      </c>
      <c r="B30" s="37">
        <v>2</v>
      </c>
      <c r="C30" s="37">
        <v>0</v>
      </c>
      <c r="D30" s="37">
        <f t="shared" si="0"/>
        <v>7</v>
      </c>
      <c r="E30" s="37" t="s">
        <v>7</v>
      </c>
      <c r="F30" s="37">
        <f t="shared" si="1"/>
        <v>9</v>
      </c>
      <c r="G30" s="37" t="str">
        <f t="shared" si="2"/>
        <v>Baja</v>
      </c>
    </row>
    <row r="31" spans="1:20" x14ac:dyDescent="0.35">
      <c r="A31" s="37">
        <v>4</v>
      </c>
      <c r="B31" s="37">
        <v>3</v>
      </c>
      <c r="C31" s="37">
        <v>0</v>
      </c>
      <c r="D31" s="37">
        <f t="shared" si="0"/>
        <v>7</v>
      </c>
      <c r="E31" s="37" t="s">
        <v>6</v>
      </c>
      <c r="F31" s="37">
        <f t="shared" si="1"/>
        <v>10</v>
      </c>
      <c r="G31" s="37" t="str">
        <f t="shared" si="2"/>
        <v>Media</v>
      </c>
    </row>
    <row r="32" spans="1:20" x14ac:dyDescent="0.35">
      <c r="A32" s="37">
        <v>3</v>
      </c>
      <c r="B32" s="37">
        <v>4</v>
      </c>
      <c r="C32" s="37">
        <v>0</v>
      </c>
      <c r="D32" s="37">
        <f t="shared" si="0"/>
        <v>7</v>
      </c>
      <c r="E32" s="37" t="s">
        <v>6</v>
      </c>
      <c r="F32" s="37">
        <f t="shared" si="1"/>
        <v>11</v>
      </c>
      <c r="G32" s="37" t="str">
        <f t="shared" si="2"/>
        <v>Media</v>
      </c>
    </row>
    <row r="33" spans="1:7" x14ac:dyDescent="0.35">
      <c r="A33" s="37">
        <v>2</v>
      </c>
      <c r="B33" s="37">
        <v>5</v>
      </c>
      <c r="C33" s="37">
        <v>0</v>
      </c>
      <c r="D33" s="37">
        <f t="shared" si="0"/>
        <v>7</v>
      </c>
      <c r="E33" s="37" t="s">
        <v>6</v>
      </c>
      <c r="F33" s="37">
        <f t="shared" si="1"/>
        <v>12</v>
      </c>
      <c r="G33" s="37" t="str">
        <f t="shared" si="2"/>
        <v>Media</v>
      </c>
    </row>
    <row r="34" spans="1:7" x14ac:dyDescent="0.35">
      <c r="A34" s="37">
        <v>1</v>
      </c>
      <c r="B34" s="37">
        <v>6</v>
      </c>
      <c r="C34" s="37">
        <v>0</v>
      </c>
      <c r="D34" s="37">
        <f t="shared" si="0"/>
        <v>7</v>
      </c>
      <c r="E34" s="37" t="s">
        <v>6</v>
      </c>
      <c r="F34" s="37">
        <f t="shared" si="1"/>
        <v>13</v>
      </c>
      <c r="G34" s="37" t="str">
        <f t="shared" si="2"/>
        <v>Media</v>
      </c>
    </row>
    <row r="35" spans="1:7" x14ac:dyDescent="0.35">
      <c r="A35" s="37">
        <v>0</v>
      </c>
      <c r="B35" s="37">
        <v>7</v>
      </c>
      <c r="C35" s="37">
        <v>0</v>
      </c>
      <c r="D35" s="37">
        <f t="shared" si="0"/>
        <v>7</v>
      </c>
      <c r="E35" s="37" t="s">
        <v>6</v>
      </c>
      <c r="F35" s="37">
        <f t="shared" si="1"/>
        <v>14</v>
      </c>
      <c r="G35" s="37" t="str">
        <f t="shared" si="2"/>
        <v>Media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Hoja3</vt:lpstr>
      <vt:lpstr>old</vt:lpstr>
      <vt:lpstr>Hoja2</vt:lpstr>
      <vt:lpstr>Hoja4</vt:lpstr>
      <vt:lpstr>Hoja1!Área_de_impresión</vt:lpstr>
    </vt:vector>
  </TitlesOfParts>
  <Company>BCBA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vl409088</dc:creator>
  <cp:lastModifiedBy>Ivan Coronel</cp:lastModifiedBy>
  <cp:lastPrinted>2011-06-15T16:57:32Z</cp:lastPrinted>
  <dcterms:created xsi:type="dcterms:W3CDTF">2010-01-22T18:02:10Z</dcterms:created>
  <dcterms:modified xsi:type="dcterms:W3CDTF">2023-05-24T15:39:00Z</dcterms:modified>
</cp:coreProperties>
</file>